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https://resourcesystemsgroupinc-my.sharepoint.com/personal/luke_gordon_rsginc_com/Documents/Project_Stuff/OR_Metro/MAZ_Tranformation/"/>
    </mc:Choice>
  </mc:AlternateContent>
  <xr:revisionPtr revIDLastSave="0" documentId="8_{72B3BF9E-577A-4B08-9850-A76D0EFC3402}" xr6:coauthVersionLast="47" xr6:coauthVersionMax="47" xr10:uidLastSave="{00000000-0000-0000-0000-000000000000}"/>
  <bookViews>
    <workbookView xWindow="33720" yWindow="3285" windowWidth="29040" windowHeight="15720" xr2:uid="{CDC0EC11-2636-454C-B554-9F6D43237619}"/>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tc={54F8ABD5-FA96-464A-B27C-46E15F5BDCEE}</author>
    <author>tc={949CA716-933F-4A53-8516-67C390516D50}</author>
    <author>tc={28DD3A70-1288-4136-B7C2-D9A298019A7F}</author>
    <author>tc={BE1CC8C8-E174-463C-B1FB-F2CAE5B0EF23}</author>
    <author>tc={82E195A7-71ED-4327-844D-39F261E8C933}</author>
    <author>tc={8DD460B9-258B-4FDC-B706-6F0BBE4AC7D7}</author>
    <author>tc={B1E2C4BC-A7D7-4AE4-B13C-1CD1386443D5}</author>
    <author>tc={1752EBB6-7D74-4741-9D05-E907E3CC1DB6}</author>
    <author>tc={8E5D0D04-D092-4A24-B3A1-0DD115D79836}</author>
    <author>tc={F03060C6-4705-429C-AF57-E8D8C4A43151}</author>
    <author>tc={986B361E-3DBC-473B-9D81-893A76633508}</author>
    <author>tc={9A5C74DF-3AF0-4CE6-8646-EE561EBEBADC}</author>
    <author>tc={4B3C658B-EFFD-43D1-BAD6-6DAC1980008A}</author>
    <author>tc={CED69DD8-C88B-43EF-9B2D-047907D98C83}</author>
  </authors>
  <commentList>
    <comment ref="E13" authorId="0" shapeId="0" xr:uid="{54F8ABD5-FA96-464A-B27C-46E15F5BDCEE}">
      <text>
        <t>[Threaded comment]
Your version of Excel allows you to read this threaded comment; however, any edits to it will get removed if the file is opened in a newer version of Excel. Learn more: https://go.microsoft.com/fwlink/?linkid=870924
Comment:
    Its not clear to me where AG employment should be if not grouped with nat resource extraction. Is it missing? If there is no other place for it then I suggest a direct mapping here.</t>
      </text>
    </comment>
    <comment ref="E19" authorId="1" shapeId="0" xr:uid="{949CA716-933F-4A53-8516-67C390516D50}">
      <text>
        <t>[Threaded comment]
Your version of Excel allows you to read this threaded comment; however, any edits to it will get removed if the file is opened in a newer version of Excel. Learn more: https://go.microsoft.com/fwlink/?linkid=870924
Comment:
    For now you can map RCS to RET. ACC would be zero.</t>
      </text>
    </comment>
    <comment ref="E26" authorId="2" shapeId="0" xr:uid="{28DD3A70-1288-4136-B7C2-D9A298019A7F}">
      <text>
        <t>[Threaded comment]
Your version of Excel allows you to read this threaded comment; however, any edits to it will get removed if the file is opened in a newer version of Excel. Learn more: https://go.microsoft.com/fwlink/?linkid=870924
Comment:
    Zero for now</t>
      </text>
    </comment>
    <comment ref="D36" authorId="3" shapeId="0" xr:uid="{BE1CC8C8-E174-463C-B1FB-F2CAE5B0EF23}">
      <text>
        <t>[Threaded comment]
Your version of Excel allows you to read this threaded comment; however, any edits to it will get removed if the file is opened in a newer version of Excel. Learn more: https://go.microsoft.com/fwlink/?linkid=870924
Comment:
    These fields aren’t additive. Take the max</t>
      </text>
    </comment>
    <comment ref="D38" authorId="4" shapeId="0" xr:uid="{82E195A7-71ED-4327-844D-39F261E8C933}">
      <text>
        <t>[Threaded comment]
Your version of Excel allows you to read this threaded comment; however, any edits to it will get removed if the file is opened in a newer version of Excel. Learn more: https://go.microsoft.com/fwlink/?linkid=870924
Comment:
    CTRamp doesn’t distinguish between types of parkland</t>
      </text>
    </comment>
    <comment ref="E38" authorId="5" shapeId="0" xr:uid="{8DD460B9-258B-4FDC-B706-6F0BBE4AC7D7}">
      <text>
        <t>[Threaded comment]
Your version of Excel allows you to read this threaded comment; however, any edits to it will get removed if the file is opened in a newer version of Excel. Learn more: https://go.microsoft.com/fwlink/?linkid=870924
Comment:
    Use active acres for now</t>
      </text>
    </comment>
    <comment ref="E39" authorId="6" shapeId="0" xr:uid="{B1E2C4BC-A7D7-4AE4-B13C-1CD1386443D5}">
      <text>
        <t>[Threaded comment]
Your version of Excel allows you to read this threaded comment; however, any edits to it will get removed if the file is opened in a newer version of Excel. Learn more: https://go.microsoft.com/fwlink/?linkid=870924
Comment:
    Zero for now</t>
      </text>
    </comment>
    <comment ref="E40" authorId="7" shapeId="0" xr:uid="{1752EBB6-7D74-4741-9D05-E907E3CC1DB6}">
      <text>
        <t xml:space="preserve">[Threaded comment]
Your version of Excel allows you to read this threaded comment; however, any edits to it will get removed if the file is opened in a newer version of Excel. Learn more: https://go.microsoft.com/fwlink/?linkid=870924
Comment:
    Suggest something simple like 10 minutes for Multnomah County, 9999 for other counties
</t>
      </text>
    </comment>
    <comment ref="E41" authorId="8" shapeId="0" xr:uid="{8E5D0D04-D092-4A24-B3A1-0DD115D79836}">
      <text>
        <t>[Threaded comment]
Your version of Excel allows you to read this threaded comment; however, any edits to it will get removed if the file is opened in a newer version of Excel. Learn more: https://go.microsoft.com/fwlink/?linkid=870924
Comment:
    Suggest something simple like 10 min for Multnomah County, 9999 for other counties</t>
      </text>
    </comment>
    <comment ref="E42" authorId="9" shapeId="0" xr:uid="{F03060C6-4705-429C-AF57-E8D8C4A43151}">
      <text>
        <t>[Threaded comment]
Your version of Excel allows you to read this threaded comment; however, any edits to it will get removed if the file is opened in a newer version of Excel. Learn more: https://go.microsoft.com/fwlink/?linkid=870924
Comment:
    All zero</t>
      </text>
    </comment>
    <comment ref="E43" authorId="10" shapeId="0" xr:uid="{986B361E-3DBC-473B-9D81-893A76633508}">
      <text>
        <t>[Threaded comment]
Your version of Excel allows you to read this threaded comment; however, any edits to it will get removed if the file is opened in a newer version of Excel. Learn more: https://go.microsoft.com/fwlink/?linkid=870924
Comment:
    All zero</t>
      </text>
    </comment>
    <comment ref="E44" authorId="11" shapeId="0" xr:uid="{9A5C74DF-3AF0-4CE6-8646-EE561EBEBADC}">
      <text>
        <t>[Threaded comment]
Your version of Excel allows you to read this threaded comment; however, any edits to it will get removed if the file is opened in a newer version of Excel. Learn more: https://go.microsoft.com/fwlink/?linkid=870924
Comment:
    All zero</t>
      </text>
    </comment>
    <comment ref="E58" authorId="12" shapeId="0" xr:uid="{4B3C658B-EFFD-43D1-BAD6-6DAC1980008A}">
      <text>
        <t>[Threaded comment]
Your version of Excel allows you to read this threaded comment; however, any edits to it will get removed if the file is opened in a newer version of Excel. Learn more: https://go.microsoft.com/fwlink/?linkid=870924
Comment:
    Suggested mapping looks good for now</t>
      </text>
    </comment>
    <comment ref="F58" authorId="13" shapeId="0" xr:uid="{CED69DD8-C88B-43EF-9B2D-047907D98C83}">
      <text>
        <t>[Threaded comment]
Your version of Excel allows you to read this threaded comment; however, any edits to it will get removed if the file is opened in a newer version of Excel. Learn more: https://go.microsoft.com/fwlink/?linkid=870924
Comment:
    Not clear to me what this is calculated from</t>
      </text>
    </comment>
  </commentList>
</comments>
</file>

<file path=xl/sharedStrings.xml><?xml version="1.0" encoding="utf-8"?>
<sst xmlns="http://schemas.openxmlformats.org/spreadsheetml/2006/main" count="486" uniqueCount="214">
  <si>
    <t>Visible</t>
  </si>
  <si>
    <t>Read Only</t>
  </si>
  <si>
    <t>Field Name</t>
  </si>
  <si>
    <t>Alias</t>
  </si>
  <si>
    <t>Data Type</t>
  </si>
  <si>
    <t>Allow NULL</t>
  </si>
  <si>
    <t>Highlight</t>
  </si>
  <si>
    <t>Number Format</t>
  </si>
  <si>
    <t>Domain</t>
  </si>
  <si>
    <t>Default</t>
  </si>
  <si>
    <t>Length</t>
  </si>
  <si>
    <t>OBJECTID</t>
  </si>
  <si>
    <t>Object ID</t>
  </si>
  <si>
    <t>Numeric</t>
  </si>
  <si>
    <t>OBJECTID_1</t>
  </si>
  <si>
    <t>Long</t>
  </si>
  <si>
    <t>MAZ</t>
  </si>
  <si>
    <t>STATE</t>
  </si>
  <si>
    <t>Text</t>
  </si>
  <si>
    <t>COUNTY</t>
  </si>
  <si>
    <t>TRACT</t>
  </si>
  <si>
    <t>TRACT_NO</t>
  </si>
  <si>
    <t>Double</t>
  </si>
  <si>
    <t>BG</t>
  </si>
  <si>
    <t>TRBG</t>
  </si>
  <si>
    <t>PUMA</t>
  </si>
  <si>
    <t>PUMA_ID</t>
  </si>
  <si>
    <t>TRACT_FIPS</t>
  </si>
  <si>
    <t>BG_FIPS</t>
  </si>
  <si>
    <t>TAZ</t>
  </si>
  <si>
    <t>HH</t>
  </si>
  <si>
    <t>HH_SF</t>
  </si>
  <si>
    <t>HH_MF</t>
  </si>
  <si>
    <t>HH_MH</t>
  </si>
  <si>
    <t>HH_DUPLEX</t>
  </si>
  <si>
    <t>HH_GQ_CIV</t>
  </si>
  <si>
    <t>HH_GQ_MIL</t>
  </si>
  <si>
    <t>HH_GQ_UNIV</t>
  </si>
  <si>
    <t>HHS</t>
  </si>
  <si>
    <t>POP</t>
  </si>
  <si>
    <t>HHP</t>
  </si>
  <si>
    <t>ENROLLK_8</t>
  </si>
  <si>
    <t>ENROLL9_12</t>
  </si>
  <si>
    <t>ENROLLCOLL</t>
  </si>
  <si>
    <t>ENROLLCOOT</t>
  </si>
  <si>
    <t>ENROLLADSC</t>
  </si>
  <si>
    <t>ECH_DIST</t>
  </si>
  <si>
    <t>HCH_DIST</t>
  </si>
  <si>
    <t>SCHDIST_NA</t>
  </si>
  <si>
    <t>SCHDIST</t>
  </si>
  <si>
    <t>PARKACRES</t>
  </si>
  <si>
    <t>EMP_AER</t>
  </si>
  <si>
    <t>EMP_AMF</t>
  </si>
  <si>
    <t>EMP_CON</t>
  </si>
  <si>
    <t>EMP_EDU</t>
  </si>
  <si>
    <t>EMP_FSD</t>
  </si>
  <si>
    <t>EMP_GOV</t>
  </si>
  <si>
    <t>EMP_HSS</t>
  </si>
  <si>
    <t>EMP_MFG</t>
  </si>
  <si>
    <t>EMP_MHT</t>
  </si>
  <si>
    <t>EMP_OSV</t>
  </si>
  <si>
    <t>EMP_PBS</t>
  </si>
  <si>
    <t>EMP_RCS</t>
  </si>
  <si>
    <t>Description </t>
  </si>
  <si>
    <t>MAZ </t>
  </si>
  <si>
    <t>Micro-analysis zone number </t>
  </si>
  <si>
    <t>TAZ </t>
  </si>
  <si>
    <t>(Optional) Transportation analysis zone number </t>
  </si>
  <si>
    <t>BLKGRP </t>
  </si>
  <si>
    <t>(Optional) Census block group number (documentation field – optional) </t>
  </si>
  <si>
    <t>TRACT </t>
  </si>
  <si>
    <t>(Optional) Census tract number (documentation field – optional) </t>
  </si>
  <si>
    <t>PUMA </t>
  </si>
  <si>
    <t>(Optional) Census Public Use Microdata Number (documentation field – optional) </t>
  </si>
  <si>
    <t>COUNTY </t>
  </si>
  <si>
    <t>Census county number (documentation field – optional) </t>
  </si>
  <si>
    <t>DISTRICTXX </t>
  </si>
  <si>
    <t>(Optional) District field where xx is the number of districts. Used for application of district-level constants if necessary and/or for summaries of model results. </t>
  </si>
  <si>
    <t>TOTNGQHHS  </t>
  </si>
  <si>
    <t>(Calculated) Total non-group quarters households, calculated from synthetic population file. </t>
  </si>
  <si>
    <t>TOTGQHHS </t>
  </si>
  <si>
    <t>(Calculated) Total group quarters households/population, calculated from synthetic population file. </t>
  </si>
  <si>
    <t>TOTHHS </t>
  </si>
  <si>
    <t>(Calculated) Total households, calculated from synthetic population file. </t>
  </si>
  <si>
    <t>TOTPOP </t>
  </si>
  <si>
    <t>(Calculated) Total population, calculated from synthetic population file. </t>
  </si>
  <si>
    <t>EMP_NRM </t>
  </si>
  <si>
    <t>Natural resources and mining employment (NAICS 21) </t>
  </si>
  <si>
    <t>EMP_CON </t>
  </si>
  <si>
    <t>Construction employment (NAICS 23) </t>
  </si>
  <si>
    <t>EMP_NHTMFG </t>
  </si>
  <si>
    <t>Non-high tech manufacturing employment (NAICS 31-33 except NAICS 334) </t>
  </si>
  <si>
    <t>EMP_HTMFG </t>
  </si>
  <si>
    <t>High tech manufacturing employment (NAICS 334) </t>
  </si>
  <si>
    <t>EMP_WT </t>
  </si>
  <si>
    <t>Wholesale trade employment (NAICS 42) </t>
  </si>
  <si>
    <t>EMP_TWU </t>
  </si>
  <si>
    <t>Transportation, warehousing, and utilities employment (NAICS 22, 48, 49) </t>
  </si>
  <si>
    <t>EMP_RET </t>
  </si>
  <si>
    <t>Retail Trade employment (NAICS 44-45) </t>
  </si>
  <si>
    <t>EMP_ IFRPBS </t>
  </si>
  <si>
    <t>Information, finance, real estate, professional, and business service employment (NAICS 51-56)  </t>
  </si>
  <si>
    <t>EMP_HCS </t>
  </si>
  <si>
    <t>Health care and social assistance employment (NAICS 62) </t>
  </si>
  <si>
    <t>EMP_OSV </t>
  </si>
  <si>
    <t>Other service employment (NAICS 81) </t>
  </si>
  <si>
    <t>EMP_GOV </t>
  </si>
  <si>
    <t>Government employment (no education, NAICS 92)  </t>
  </si>
  <si>
    <t>EMP_EDU </t>
  </si>
  <si>
    <t>Education employment (NAICS 61) </t>
  </si>
  <si>
    <t>EMP_AER </t>
  </si>
  <si>
    <t>Arts, entertainment, and recreation employment (NAICS 71) </t>
  </si>
  <si>
    <t>EMP_ACC </t>
  </si>
  <si>
    <t>Accommodations employment (721) </t>
  </si>
  <si>
    <t>EMP_FSD </t>
  </si>
  <si>
    <t>Food services and drinking places employment (NAICS 722) </t>
  </si>
  <si>
    <t>EMP_TOT </t>
  </si>
  <si>
    <t>Total employment (Can be calculated from above fields) </t>
  </si>
  <si>
    <t>ENROLL_K8 </t>
  </si>
  <si>
    <t>Grades K-8 enrollment (public and private) </t>
  </si>
  <si>
    <t>ENROLL_912 </t>
  </si>
  <si>
    <t>Grades 9-12 enrollment (public and private) </t>
  </si>
  <si>
    <t>ENROLL_COLL </t>
  </si>
  <si>
    <t>College enrollment (Can add fields to denote classroom space, university parking supply, and major university indicator if implementing the university travel model) </t>
  </si>
  <si>
    <t>TERMTIME </t>
  </si>
  <si>
    <t>Terminal time (average minutes to walk to/from parked car) </t>
  </si>
  <si>
    <t>PRKCST_HR </t>
  </si>
  <si>
    <t>Hourly parking cost ($2023 cents) </t>
  </si>
  <si>
    <t>PRKCST_DAY </t>
  </si>
  <si>
    <t>Daily parking cost ($2023 cents) </t>
  </si>
  <si>
    <t>PRKCST_MNTH </t>
  </si>
  <si>
    <t>Monthly parking cost ($2023 cents) </t>
  </si>
  <si>
    <t>PRKSPACES </t>
  </si>
  <si>
    <t>Total parking spaces </t>
  </si>
  <si>
    <t>ACRES </t>
  </si>
  <si>
    <t>Size of MAZ in acres (Can be calculated from MAZ shapefile) </t>
  </si>
  <si>
    <t>ACTIVE_ACRES </t>
  </si>
  <si>
    <t>Active park acres (include urban parks, golf courses, basketball/tennis/pickleball courts) </t>
  </si>
  <si>
    <t>OSPC_ACRES </t>
  </si>
  <si>
    <t>Open space acres (include areas of open space with trail systems) </t>
  </si>
  <si>
    <t>ESCOOACCTIME </t>
  </si>
  <si>
    <t>E-scooter access time (average number of minutes to walk to a shared e-scooter, 9999 if not available) </t>
  </si>
  <si>
    <t>EBIKEACCTIME </t>
  </si>
  <si>
    <t>E-bike access time (average number of minutes to walk to a shared e-bike, 9999 if not available) </t>
  </si>
  <si>
    <t>EXT_WORK_SIZE </t>
  </si>
  <si>
    <t>Size term for work tours at external MAZ (total resident work tours from SWIM at the external station) </t>
  </si>
  <si>
    <t>EXT_NWRK_SIZE </t>
  </si>
  <si>
    <t>Size term for non-work tours at external MAZ (total resident non-work tours from SWIM at the external station) </t>
  </si>
  <si>
    <t>TOTINT </t>
  </si>
  <si>
    <t>(Calculated) Intersection count (total 3-way and 4-way intersections in MAZ): Note this can be calculated from the all-streets network. For future years, this can be updated based on application of intersection count/acres from other similar MAZs for greenfields. </t>
  </si>
  <si>
    <t>EMPDEN </t>
  </si>
  <si>
    <t>(Calculated) Sum(EMP_TOT)/Sum(ACRES) for all MAZs within 0.5 miles of this MAZ  </t>
  </si>
  <si>
    <t>RETDEN </t>
  </si>
  <si>
    <t>(Calculated) Sum(EMP_RCS)/Sum(ACRES) for all MAZs within 0.5 miles of this MAZ </t>
  </si>
  <si>
    <t>HHDEN </t>
  </si>
  <si>
    <t>(Calculated) Sum(TOTHHS)/Sum(ACRES) for all MAZs within 0.5 miles of this MAZ </t>
  </si>
  <si>
    <t>POPDEN </t>
  </si>
  <si>
    <t>(Calculated) Sum(TOTPOP)/Sum(ACRES) for all MAZs within 0.5 miles of this MAZ </t>
  </si>
  <si>
    <t>POPEMPDEN </t>
  </si>
  <si>
    <t>(Calculated) Sum(TOTPOP + EMP_TOT)/Sum(ACRES) for all MAZs within 0.5 miles of this MAZ </t>
  </si>
  <si>
    <t>WLKTIME_BUS </t>
  </si>
  <si>
    <t>(Calculated from all-streets network) Walking time to local bus (9999 if not available) </t>
  </si>
  <si>
    <t>WLKTIME_BRT </t>
  </si>
  <si>
    <t>(Calculated from all-streets network) Walking time to bus-rapid transit (9999 if not available) </t>
  </si>
  <si>
    <t>WLKTIME_LRT </t>
  </si>
  <si>
    <t>(Calculated from all-streets network) Walking time to light-rail transit (9999 if not available) </t>
  </si>
  <si>
    <t>WLKTIME_CR </t>
  </si>
  <si>
    <t>(Calculated from all-streets network) Walking time to commuter rail (9999 if not available) </t>
  </si>
  <si>
    <t>EXPPRK_MNTH </t>
  </si>
  <si>
    <t>(Calculated) Expected average monthly parking cost from origin to all destinations ($2023 cents) </t>
  </si>
  <si>
    <t>EXPPRK_DAY </t>
  </si>
  <si>
    <t>(Calculated) Expected average daily parking cost from origin to all destinations ($2023 cents) </t>
  </si>
  <si>
    <t>EXPPRK_HR </t>
  </si>
  <si>
    <t>(Calculated) Expected average hourly parking cost from origin to all destinations ($2023 cents) </t>
  </si>
  <si>
    <t>PARKAREA </t>
  </si>
  <si>
    <t>(Calculated) Parking constrained area code: 1: Constrained parking area (destinations in area have an expected cost and parking location choice model is applied. 2: Buffer area (free parking in area is included in expected cost for destinations in PARKAREA 1, but destinations in area do not have an expected cost and parking location choice model not applied), 3: Not parking constrained or buffer area (free unconstrained parking).  </t>
  </si>
  <si>
    <t>Built Form (not sure on naming) </t>
  </si>
  <si>
    <t>We need some indication for how walkable / comfortable the area is.  In the past this has been intersection density in the base year, and a proxy for the future.  I would like to see us use maybe something from Smart Location Database definitions, but open to different ideas here. </t>
  </si>
  <si>
    <t>ActivitySimFields</t>
  </si>
  <si>
    <t>CT_RampFields</t>
  </si>
  <si>
    <t>EMP_WT</t>
  </si>
  <si>
    <t>EMP_TWU</t>
  </si>
  <si>
    <t>HH_SF+HH_MF+HH_MH+HH_DUPLEX</t>
  </si>
  <si>
    <t>HH_GQ_CIV+HH_GQ_MIL+HH_GQ_UNIV</t>
  </si>
  <si>
    <t>EMP_TOTAL</t>
  </si>
  <si>
    <t>PARKAREA</t>
  </si>
  <si>
    <t>HSTALLSOTH</t>
  </si>
  <si>
    <t>HSTALLSSAM</t>
  </si>
  <si>
    <t>HPARKCOST</t>
  </si>
  <si>
    <t>NUMFREEHRS</t>
  </si>
  <si>
    <t>DSTALLSOTH</t>
  </si>
  <si>
    <t>DSTALLSSAM</t>
  </si>
  <si>
    <t>DPARKCOST</t>
  </si>
  <si>
    <t>MSTALLSOTH</t>
  </si>
  <si>
    <t>MSTALLSSAM</t>
  </si>
  <si>
    <t>MPARKCOST</t>
  </si>
  <si>
    <t>calculated from shapefile</t>
  </si>
  <si>
    <t>--</t>
  </si>
  <si>
    <t>11,21</t>
  </si>
  <si>
    <t>All NAICS where owner=public, except 61</t>
  </si>
  <si>
    <t>31-33 (except 334)</t>
  </si>
  <si>
    <t>51-56</t>
  </si>
  <si>
    <t>44,45,721</t>
  </si>
  <si>
    <t>22,48,49</t>
  </si>
  <si>
    <t>NAICS</t>
  </si>
  <si>
    <t>TERMTIME (set to 0)</t>
  </si>
  <si>
    <t>HPARKCOST*100 (convert to cents)</t>
  </si>
  <si>
    <t>DPARKCOST*100 (convert to cents)</t>
  </si>
  <si>
    <t>PARKAREA (CTRamp-&gt;ActivitySim: 1-&gt;1, 2/3-&gt;2, 4-&gt;3)</t>
  </si>
  <si>
    <t>NOT AVAILABLE IN CTRAMP</t>
  </si>
  <si>
    <t>MPARKCOST*100*22 (convert to cents and to monthly from daily)</t>
  </si>
  <si>
    <t>EXTERNAL</t>
  </si>
  <si>
    <t>1 if an external MAZ, else 0</t>
  </si>
  <si>
    <t>MAX(HSTALLSSAM+DSTALLSSAM+MSTALLSSAM+HSTALLSOTH+DSTALLSOTH+MSTALLSOTH)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</si>
</sst>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00000"/>
      <name val="Arial"/>
      <family val="2"/>
    </font>
    <font>
      <sz val="11"/>
      <name val="Aptos Narrow"/>
      <family val="2"/>
      <scheme val="minor"/>
    </font>
  </fonts>
  <fills count="7">
    <fill>
      <patternFill patternType="none"/>
    </fill>
    <fill>
      <patternFill patternType="gray125"/>
    </fill>
    <fill>
      <patternFill patternType="solid">
        <fgColor rgb="FFFF0000"/>
        <bgColor indexed="64"/>
      </patternFill>
    </fill>
    <fill>
      <patternFill patternType="solid">
        <fgColor rgb="FFB4C6E7"/>
        <bgColor rgb="FF000000"/>
      </patternFill>
    </fill>
    <fill>
      <patternFill patternType="solid">
        <fgColor rgb="FFFFFF00"/>
        <bgColor indexed="64"/>
      </patternFill>
    </fill>
    <fill>
      <patternFill patternType="solid">
        <fgColor theme="1"/>
        <bgColor indexed="64"/>
      </patternFill>
    </fill>
    <fill>
      <patternFill patternType="solid">
        <fgColor rgb="FF92D050"/>
        <bgColor indexed="64"/>
      </patternFill>
    </fill>
  </fills>
  <borders count="2">
    <border>
      <left/>
      <right/>
      <top/>
      <bottom/>
      <diagonal/>
    </border>
    <border>
      <left/>
      <right style="double">
        <color indexed="64"/>
      </right>
      <top/>
      <bottom/>
      <diagonal/>
    </border>
  </borders>
  <cellStyleXfs count="1">
    <xf numFmtId="0" fontId="0" fillId="0" borderId="0"/>
  </cellStyleXfs>
  <cellXfs count="18">
    <xf numFmtId="0" fontId="0" fillId="0" borderId="0" xfId="0"/>
    <xf numFmtId="0" fontId="0" fillId="2" borderId="0" xfId="0" applyFill="1"/>
    <xf numFmtId="0" fontId="1" fillId="3" borderId="1" xfId="0" applyFont="1" applyFill="1" applyBorder="1" applyAlignment="1">
      <alignment horizontal="center" vertical="center" wrapText="1"/>
    </xf>
    <xf numFmtId="0" fontId="0" fillId="0" borderId="0" xfId="0" applyAlignment="1">
      <alignment horizontal="center"/>
    </xf>
    <xf numFmtId="0" fontId="0" fillId="4" borderId="0" xfId="0" applyFill="1" applyAlignment="1">
      <alignment horizontal="left" vertical="center"/>
    </xf>
    <xf numFmtId="0" fontId="0" fillId="0" borderId="0" xfId="0" applyAlignment="1">
      <alignment horizontal="center" vertical="center"/>
    </xf>
    <xf numFmtId="0" fontId="0" fillId="0" borderId="0" xfId="0" applyAlignment="1">
      <alignment horizontal="left" vertical="center"/>
    </xf>
    <xf numFmtId="0" fontId="1" fillId="3" borderId="1" xfId="0" applyFont="1" applyFill="1" applyBorder="1" applyAlignment="1">
      <alignment horizontal="left" vertical="center" wrapText="1"/>
    </xf>
    <xf numFmtId="0" fontId="0" fillId="4" borderId="0" xfId="0" quotePrefix="1" applyFill="1" applyAlignment="1">
      <alignment horizontal="left" vertical="center"/>
    </xf>
    <xf numFmtId="0" fontId="0" fillId="5" borderId="0" xfId="0" applyFill="1"/>
    <xf numFmtId="0" fontId="0" fillId="5" borderId="0" xfId="0" applyFill="1" applyAlignment="1">
      <alignment horizontal="left" vertical="center"/>
    </xf>
    <xf numFmtId="0" fontId="0" fillId="6" borderId="0" xfId="0" applyFill="1"/>
    <xf numFmtId="0" fontId="2" fillId="2" borderId="0" xfId="0" applyFont="1" applyFill="1"/>
    <xf numFmtId="0" fontId="0" fillId="6" borderId="0" xfId="0" applyFill="1" applyAlignment="1">
      <alignment horizontal="left"/>
    </xf>
    <xf numFmtId="0" fontId="0" fillId="0" borderId="0" xfId="0" applyAlignment="1">
      <alignment horizontal="left"/>
    </xf>
    <xf numFmtId="0" fontId="0" fillId="0" borderId="0" xfId="0" quotePrefix="1" applyAlignment="1">
      <alignment horizontal="left"/>
    </xf>
    <xf numFmtId="0" fontId="0" fillId="4" borderId="0" xfId="0" applyFill="1" applyAlignment="1">
      <alignment horizontal="left"/>
    </xf>
    <xf numFmtId="0" fontId="0" fillId="4" borderId="0" xfId="0" quotePrefix="1" applyFill="1" applyAlignment="1">
      <alignment horizontal="left"/>
    </xf>
  </cellXfs>
  <cellStyles count="1">
    <cellStyle name="Normal" xfId="0" builtinId="0"/>
  </cellStyles>
  <dxfs count="11">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1352550</xdr:colOff>
      <xdr:row>12</xdr:row>
      <xdr:rowOff>152400</xdr:rowOff>
    </xdr:from>
    <xdr:to>
      <xdr:col>2</xdr:col>
      <xdr:colOff>76200</xdr:colOff>
      <xdr:row>37</xdr:row>
      <xdr:rowOff>28575</xdr:rowOff>
    </xdr:to>
    <xdr:cxnSp macro="">
      <xdr:nvCxnSpPr>
        <xdr:cNvPr id="3" name="Straight Arrow Connector 2">
          <a:extLst>
            <a:ext uri="{FF2B5EF4-FFF2-40B4-BE49-F238E27FC236}">
              <a16:creationId xmlns:a16="http://schemas.microsoft.com/office/drawing/2014/main" id="{9FF5B09C-5091-3849-A360-C5E9670AEBE5}"/>
            </a:ext>
          </a:extLst>
        </xdr:cNvPr>
        <xdr:cNvCxnSpPr/>
      </xdr:nvCxnSpPr>
      <xdr:spPr>
        <a:xfrm flipH="1">
          <a:off x="2209800" y="2324100"/>
          <a:ext cx="1095375" cy="440055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1457325</xdr:colOff>
      <xdr:row>18</xdr:row>
      <xdr:rowOff>171450</xdr:rowOff>
    </xdr:from>
    <xdr:to>
      <xdr:col>2</xdr:col>
      <xdr:colOff>63500</xdr:colOff>
      <xdr:row>47</xdr:row>
      <xdr:rowOff>38100</xdr:rowOff>
    </xdr:to>
    <xdr:cxnSp macro="">
      <xdr:nvCxnSpPr>
        <xdr:cNvPr id="5" name="Straight Arrow Connector 4">
          <a:extLst>
            <a:ext uri="{FF2B5EF4-FFF2-40B4-BE49-F238E27FC236}">
              <a16:creationId xmlns:a16="http://schemas.microsoft.com/office/drawing/2014/main" id="{B8289B16-12AF-D54A-C9C0-6633D63998AE}"/>
            </a:ext>
          </a:extLst>
        </xdr:cNvPr>
        <xdr:cNvCxnSpPr/>
      </xdr:nvCxnSpPr>
      <xdr:spPr>
        <a:xfrm flipH="1">
          <a:off x="2314575" y="3429000"/>
          <a:ext cx="977900" cy="51149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1457325</xdr:colOff>
      <xdr:row>18</xdr:row>
      <xdr:rowOff>171450</xdr:rowOff>
    </xdr:from>
    <xdr:to>
      <xdr:col>2</xdr:col>
      <xdr:colOff>69850</xdr:colOff>
      <xdr:row>47</xdr:row>
      <xdr:rowOff>38100</xdr:rowOff>
    </xdr:to>
    <xdr:cxnSp macro="">
      <xdr:nvCxnSpPr>
        <xdr:cNvPr id="7" name="Straight Arrow Connector 6">
          <a:extLst>
            <a:ext uri="{FF2B5EF4-FFF2-40B4-BE49-F238E27FC236}">
              <a16:creationId xmlns:a16="http://schemas.microsoft.com/office/drawing/2014/main" id="{26FAAAFF-0221-41AA-9063-B137ED6A2CC7}"/>
            </a:ext>
          </a:extLst>
        </xdr:cNvPr>
        <xdr:cNvCxnSpPr/>
      </xdr:nvCxnSpPr>
      <xdr:spPr>
        <a:xfrm flipH="1">
          <a:off x="2314575" y="3429000"/>
          <a:ext cx="984250" cy="51149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1514475</xdr:colOff>
      <xdr:row>25</xdr:row>
      <xdr:rowOff>158750</xdr:rowOff>
    </xdr:from>
    <xdr:to>
      <xdr:col>2</xdr:col>
      <xdr:colOff>63500</xdr:colOff>
      <xdr:row>47</xdr:row>
      <xdr:rowOff>47625</xdr:rowOff>
    </xdr:to>
    <xdr:cxnSp macro="">
      <xdr:nvCxnSpPr>
        <xdr:cNvPr id="8" name="Straight Arrow Connector 7">
          <a:extLst>
            <a:ext uri="{FF2B5EF4-FFF2-40B4-BE49-F238E27FC236}">
              <a16:creationId xmlns:a16="http://schemas.microsoft.com/office/drawing/2014/main" id="{55F6CBBC-6086-43FD-BF46-C69ACC6EF9C9}"/>
            </a:ext>
          </a:extLst>
        </xdr:cNvPr>
        <xdr:cNvCxnSpPr/>
      </xdr:nvCxnSpPr>
      <xdr:spPr>
        <a:xfrm flipH="1">
          <a:off x="2371725" y="4683125"/>
          <a:ext cx="920750" cy="387032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Luke Gordon" id="{C1E96626-C4B1-44CE-9C9D-1AAC80F4977B}" userId="S::luke.gordon@rsginc.com::e04e8319-23e0-4cc9-a53a-dde7bb33e9a9" providerId="AD"/>
  <person displayName="Joel Freedman" id="{22960FEB-965D-43BF-A0B7-5E2D42B281AA}" userId="S::joel.freedman@rsginc.com::e619db8f-0d08-48f7-b7d5-cd11ea78c02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3" dT="2025-04-28T23:30:34.06" personId="{22960FEB-965D-43BF-A0B7-5E2D42B281AA}" id="{54F8ABD5-FA96-464A-B27C-46E15F5BDCEE}">
    <text>Its not clear to me where AG employment should be if not grouped with nat resource extraction. Is it missing? If there is no other place for it then I suggest a direct mapping here.</text>
  </threadedComment>
  <threadedComment ref="E19" dT="2025-04-28T23:31:14.19" personId="{22960FEB-965D-43BF-A0B7-5E2D42B281AA}" id="{949CA716-933F-4A53-8516-67C390516D50}">
    <text>For now you can map RCS to RET. ACC would be zero.</text>
  </threadedComment>
  <threadedComment ref="E26" dT="2025-04-28T23:31:22.28" personId="{22960FEB-965D-43BF-A0B7-5E2D42B281AA}" id="{28DD3A70-1288-4136-B7C2-D9A298019A7F}">
    <text>Zero for now</text>
  </threadedComment>
  <threadedComment ref="D36" dT="2025-04-28T23:35:27.24" personId="{22960FEB-965D-43BF-A0B7-5E2D42B281AA}" id="{BE1CC8C8-E174-463C-B1FB-F2CAE5B0EF23}">
    <text>These fields aren’t additive. Take the max</text>
  </threadedComment>
  <threadedComment ref="D38" dT="2025-04-21T21:56:52.32" personId="{C1E96626-C4B1-44CE-9C9D-1AAC80F4977B}" id="{82E195A7-71ED-4327-844D-39F261E8C933}">
    <text>CTRamp doesn’t distinguish between types of parkland</text>
  </threadedComment>
  <threadedComment ref="E38" dT="2025-04-28T23:31:48.89" personId="{22960FEB-965D-43BF-A0B7-5E2D42B281AA}" id="{8DD460B9-258B-4FDC-B706-6F0BBE4AC7D7}">
    <text>Use active acres for now</text>
  </threadedComment>
  <threadedComment ref="E39" dT="2025-04-28T23:31:56.19" personId="{22960FEB-965D-43BF-A0B7-5E2D42B281AA}" id="{B1E2C4BC-A7D7-4AE4-B13C-1CD1386443D5}">
    <text>Zero for now</text>
  </threadedComment>
  <threadedComment ref="E40" dT="2025-04-28T23:33:12.47" personId="{22960FEB-965D-43BF-A0B7-5E2D42B281AA}" id="{1752EBB6-7D74-4741-9D05-E907E3CC1DB6}">
    <text xml:space="preserve">Suggest something simple like 10 minutes for Multnomah County, 9999 for other counties
</text>
  </threadedComment>
  <threadedComment ref="E41" dT="2025-04-28T23:33:30.74" personId="{22960FEB-965D-43BF-A0B7-5E2D42B281AA}" id="{8E5D0D04-D092-4A24-B3A1-0DD115D79836}">
    <text>Suggest something simple like 10 min for Multnomah County, 9999 for other counties</text>
  </threadedComment>
  <threadedComment ref="E42" dT="2025-04-28T23:33:45.75" personId="{22960FEB-965D-43BF-A0B7-5E2D42B281AA}" id="{F03060C6-4705-429C-AF57-E8D8C4A43151}">
    <text>All zero</text>
  </threadedComment>
  <threadedComment ref="E43" dT="2025-04-28T23:33:51.54" personId="{22960FEB-965D-43BF-A0B7-5E2D42B281AA}" id="{986B361E-3DBC-473B-9D81-893A76633508}">
    <text>All zero</text>
  </threadedComment>
  <threadedComment ref="E44" dT="2025-04-28T23:33:57.79" personId="{22960FEB-965D-43BF-A0B7-5E2D42B281AA}" id="{9A5C74DF-3AF0-4CE6-8646-EE561EBEBADC}">
    <text>All zero</text>
  </threadedComment>
  <threadedComment ref="E58" dT="2025-04-28T23:34:44.99" personId="{22960FEB-965D-43BF-A0B7-5E2D42B281AA}" id="{4B3C658B-EFFD-43D1-BAD6-6DAC1980008A}">
    <text>Suggested mapping looks good for now</text>
  </threadedComment>
  <threadedComment ref="F58" dT="2025-04-21T21:54:43.01" personId="{C1E96626-C4B1-44CE-9C9D-1AAC80F4977B}" id="{CED69DD8-C88B-43EF-9B2D-047907D98C83}">
    <text>Not clear to me what this is calculated from</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38679-1C22-4452-9537-0BDA5226C68F}">
  <dimension ref="A1:F62"/>
  <sheetViews>
    <sheetView tabSelected="1" topLeftCell="C4" workbookViewId="0">
      <selection activeCell="F21" sqref="F21"/>
    </sheetView>
  </sheetViews>
  <sheetFormatPr defaultRowHeight="14.5" x14ac:dyDescent="0.35"/>
  <cols>
    <col min="1" max="1" width="12.26953125" bestFit="1" customWidth="1"/>
    <col min="2" max="2" width="34" bestFit="1" customWidth="1"/>
    <col min="3" max="3" width="1.1796875" style="9" customWidth="1"/>
    <col min="4" max="4" width="71.36328125" style="14" bestFit="1" customWidth="1"/>
    <col min="5" max="5" width="26.54296875" bestFit="1" customWidth="1"/>
    <col min="6" max="6" width="255.6328125" bestFit="1" customWidth="1"/>
  </cols>
  <sheetData>
    <row r="1" spans="1:6" x14ac:dyDescent="0.35">
      <c r="A1" t="s">
        <v>179</v>
      </c>
      <c r="D1" s="13" t="s">
        <v>179</v>
      </c>
      <c r="E1" s="11" t="s">
        <v>178</v>
      </c>
      <c r="F1" t="s">
        <v>63</v>
      </c>
    </row>
    <row r="2" spans="1:6" x14ac:dyDescent="0.35">
      <c r="A2" t="s">
        <v>11</v>
      </c>
      <c r="D2" s="14" t="s">
        <v>16</v>
      </c>
      <c r="E2" t="s">
        <v>64</v>
      </c>
      <c r="F2" t="s">
        <v>65</v>
      </c>
    </row>
    <row r="3" spans="1:6" x14ac:dyDescent="0.35">
      <c r="A3" t="s">
        <v>14</v>
      </c>
      <c r="D3" s="14" t="s">
        <v>29</v>
      </c>
      <c r="E3" t="s">
        <v>66</v>
      </c>
      <c r="F3" t="s">
        <v>67</v>
      </c>
    </row>
    <row r="4" spans="1:6" x14ac:dyDescent="0.35">
      <c r="A4" t="s">
        <v>16</v>
      </c>
      <c r="D4" s="14" t="s">
        <v>23</v>
      </c>
      <c r="E4" t="s">
        <v>68</v>
      </c>
      <c r="F4" t="s">
        <v>69</v>
      </c>
    </row>
    <row r="5" spans="1:6" x14ac:dyDescent="0.35">
      <c r="A5" t="s">
        <v>17</v>
      </c>
      <c r="D5" s="14" t="s">
        <v>20</v>
      </c>
      <c r="E5" t="s">
        <v>70</v>
      </c>
      <c r="F5" t="s">
        <v>71</v>
      </c>
    </row>
    <row r="6" spans="1:6" x14ac:dyDescent="0.35">
      <c r="A6" t="s">
        <v>19</v>
      </c>
      <c r="D6" s="14" t="s">
        <v>25</v>
      </c>
      <c r="E6" t="s">
        <v>72</v>
      </c>
      <c r="F6" t="s">
        <v>73</v>
      </c>
    </row>
    <row r="7" spans="1:6" x14ac:dyDescent="0.35">
      <c r="A7" t="s">
        <v>20</v>
      </c>
      <c r="D7" s="14" t="s">
        <v>19</v>
      </c>
      <c r="E7" t="s">
        <v>74</v>
      </c>
      <c r="F7" t="s">
        <v>75</v>
      </c>
    </row>
    <row r="8" spans="1:6" x14ac:dyDescent="0.35">
      <c r="A8" t="s">
        <v>21</v>
      </c>
      <c r="D8" s="15" t="s">
        <v>197</v>
      </c>
      <c r="E8" t="s">
        <v>76</v>
      </c>
      <c r="F8" t="s">
        <v>77</v>
      </c>
    </row>
    <row r="9" spans="1:6" x14ac:dyDescent="0.35">
      <c r="A9" t="s">
        <v>23</v>
      </c>
      <c r="D9" s="14" t="s">
        <v>182</v>
      </c>
      <c r="E9" t="s">
        <v>78</v>
      </c>
      <c r="F9" t="s">
        <v>79</v>
      </c>
    </row>
    <row r="10" spans="1:6" x14ac:dyDescent="0.35">
      <c r="A10" t="s">
        <v>24</v>
      </c>
      <c r="D10" s="14" t="s">
        <v>183</v>
      </c>
      <c r="E10" t="s">
        <v>80</v>
      </c>
      <c r="F10" t="s">
        <v>81</v>
      </c>
    </row>
    <row r="11" spans="1:6" x14ac:dyDescent="0.35">
      <c r="A11" t="s">
        <v>25</v>
      </c>
      <c r="D11" s="14" t="s">
        <v>30</v>
      </c>
      <c r="E11" t="s">
        <v>82</v>
      </c>
      <c r="F11" t="s">
        <v>83</v>
      </c>
    </row>
    <row r="12" spans="1:6" x14ac:dyDescent="0.35">
      <c r="A12" t="s">
        <v>26</v>
      </c>
      <c r="D12" s="14" t="s">
        <v>39</v>
      </c>
      <c r="E12" t="s">
        <v>84</v>
      </c>
      <c r="F12" t="s">
        <v>85</v>
      </c>
    </row>
    <row r="13" spans="1:6" x14ac:dyDescent="0.35">
      <c r="A13" t="s">
        <v>27</v>
      </c>
      <c r="D13" s="16" t="s">
        <v>52</v>
      </c>
      <c r="E13" t="s">
        <v>86</v>
      </c>
      <c r="F13" t="s">
        <v>87</v>
      </c>
    </row>
    <row r="14" spans="1:6" x14ac:dyDescent="0.35">
      <c r="A14" t="s">
        <v>28</v>
      </c>
      <c r="D14" s="14" t="s">
        <v>53</v>
      </c>
      <c r="E14" t="s">
        <v>88</v>
      </c>
      <c r="F14" t="s">
        <v>89</v>
      </c>
    </row>
    <row r="15" spans="1:6" x14ac:dyDescent="0.35">
      <c r="A15" t="s">
        <v>29</v>
      </c>
      <c r="D15" s="14" t="s">
        <v>58</v>
      </c>
      <c r="E15" t="s">
        <v>90</v>
      </c>
      <c r="F15" t="s">
        <v>91</v>
      </c>
    </row>
    <row r="16" spans="1:6" x14ac:dyDescent="0.35">
      <c r="A16" t="s">
        <v>30</v>
      </c>
      <c r="D16" s="14" t="s">
        <v>59</v>
      </c>
      <c r="E16" t="s">
        <v>92</v>
      </c>
      <c r="F16" t="s">
        <v>93</v>
      </c>
    </row>
    <row r="17" spans="1:6" x14ac:dyDescent="0.35">
      <c r="A17" s="1" t="s">
        <v>31</v>
      </c>
      <c r="D17" s="14" t="s">
        <v>180</v>
      </c>
      <c r="E17" t="s">
        <v>94</v>
      </c>
      <c r="F17" t="s">
        <v>95</v>
      </c>
    </row>
    <row r="18" spans="1:6" x14ac:dyDescent="0.35">
      <c r="A18" s="1" t="s">
        <v>32</v>
      </c>
      <c r="D18" s="14" t="s">
        <v>181</v>
      </c>
      <c r="E18" t="s">
        <v>96</v>
      </c>
      <c r="F18" t="s">
        <v>97</v>
      </c>
    </row>
    <row r="19" spans="1:6" x14ac:dyDescent="0.35">
      <c r="A19" s="1" t="s">
        <v>33</v>
      </c>
      <c r="D19" s="16" t="s">
        <v>62</v>
      </c>
      <c r="E19" t="s">
        <v>98</v>
      </c>
      <c r="F19" t="s">
        <v>99</v>
      </c>
    </row>
    <row r="20" spans="1:6" x14ac:dyDescent="0.35">
      <c r="A20" s="1" t="s">
        <v>34</v>
      </c>
      <c r="D20" s="14" t="s">
        <v>61</v>
      </c>
      <c r="E20" t="s">
        <v>100</v>
      </c>
      <c r="F20" t="s">
        <v>101</v>
      </c>
    </row>
    <row r="21" spans="1:6" x14ac:dyDescent="0.35">
      <c r="A21" s="1" t="s">
        <v>35</v>
      </c>
      <c r="D21" s="14" t="s">
        <v>57</v>
      </c>
      <c r="E21" t="s">
        <v>102</v>
      </c>
      <c r="F21" t="s">
        <v>103</v>
      </c>
    </row>
    <row r="22" spans="1:6" x14ac:dyDescent="0.35">
      <c r="A22" s="1" t="s">
        <v>36</v>
      </c>
      <c r="D22" s="14" t="s">
        <v>60</v>
      </c>
      <c r="E22" t="s">
        <v>104</v>
      </c>
      <c r="F22" t="s">
        <v>105</v>
      </c>
    </row>
    <row r="23" spans="1:6" x14ac:dyDescent="0.35">
      <c r="A23" s="1" t="s">
        <v>37</v>
      </c>
      <c r="D23" s="14" t="s">
        <v>56</v>
      </c>
      <c r="E23" t="s">
        <v>106</v>
      </c>
      <c r="F23" t="s">
        <v>107</v>
      </c>
    </row>
    <row r="24" spans="1:6" x14ac:dyDescent="0.35">
      <c r="A24" t="s">
        <v>38</v>
      </c>
      <c r="D24" s="14" t="s">
        <v>54</v>
      </c>
      <c r="E24" t="s">
        <v>108</v>
      </c>
      <c r="F24" t="s">
        <v>109</v>
      </c>
    </row>
    <row r="25" spans="1:6" x14ac:dyDescent="0.35">
      <c r="A25" t="s">
        <v>39</v>
      </c>
      <c r="D25" s="14" t="s">
        <v>51</v>
      </c>
      <c r="E25" t="s">
        <v>110</v>
      </c>
      <c r="F25" t="s">
        <v>111</v>
      </c>
    </row>
    <row r="26" spans="1:6" x14ac:dyDescent="0.35">
      <c r="A26" t="s">
        <v>40</v>
      </c>
      <c r="D26" s="17">
        <v>0</v>
      </c>
      <c r="E26" t="s">
        <v>112</v>
      </c>
      <c r="F26" t="s">
        <v>113</v>
      </c>
    </row>
    <row r="27" spans="1:6" x14ac:dyDescent="0.35">
      <c r="A27" t="s">
        <v>41</v>
      </c>
      <c r="D27" s="14" t="s">
        <v>55</v>
      </c>
      <c r="E27" t="s">
        <v>114</v>
      </c>
      <c r="F27" t="s">
        <v>115</v>
      </c>
    </row>
    <row r="28" spans="1:6" x14ac:dyDescent="0.35">
      <c r="A28" t="s">
        <v>42</v>
      </c>
      <c r="D28" s="14" t="s">
        <v>184</v>
      </c>
      <c r="E28" t="s">
        <v>116</v>
      </c>
      <c r="F28" t="s">
        <v>117</v>
      </c>
    </row>
    <row r="29" spans="1:6" x14ac:dyDescent="0.35">
      <c r="A29" t="s">
        <v>43</v>
      </c>
      <c r="D29" s="14" t="s">
        <v>41</v>
      </c>
      <c r="E29" t="s">
        <v>118</v>
      </c>
      <c r="F29" t="s">
        <v>119</v>
      </c>
    </row>
    <row r="30" spans="1:6" x14ac:dyDescent="0.35">
      <c r="A30" t="s">
        <v>44</v>
      </c>
      <c r="D30" s="14" t="s">
        <v>42</v>
      </c>
      <c r="E30" t="s">
        <v>120</v>
      </c>
      <c r="F30" t="s">
        <v>121</v>
      </c>
    </row>
    <row r="31" spans="1:6" x14ac:dyDescent="0.35">
      <c r="A31" t="s">
        <v>45</v>
      </c>
      <c r="D31" s="14" t="s">
        <v>43</v>
      </c>
      <c r="E31" t="s">
        <v>122</v>
      </c>
      <c r="F31" t="s">
        <v>123</v>
      </c>
    </row>
    <row r="32" spans="1:6" x14ac:dyDescent="0.35">
      <c r="A32" t="s">
        <v>46</v>
      </c>
      <c r="D32" s="14" t="s">
        <v>205</v>
      </c>
      <c r="E32" t="s">
        <v>124</v>
      </c>
      <c r="F32" t="s">
        <v>125</v>
      </c>
    </row>
    <row r="33" spans="1:6" x14ac:dyDescent="0.35">
      <c r="A33" t="s">
        <v>47</v>
      </c>
      <c r="D33" s="14" t="s">
        <v>206</v>
      </c>
      <c r="E33" t="s">
        <v>126</v>
      </c>
      <c r="F33" t="s">
        <v>127</v>
      </c>
    </row>
    <row r="34" spans="1:6" x14ac:dyDescent="0.35">
      <c r="A34" t="s">
        <v>48</v>
      </c>
      <c r="D34" s="14" t="s">
        <v>207</v>
      </c>
      <c r="E34" t="s">
        <v>128</v>
      </c>
      <c r="F34" t="s">
        <v>129</v>
      </c>
    </row>
    <row r="35" spans="1:6" x14ac:dyDescent="0.35">
      <c r="A35" t="s">
        <v>49</v>
      </c>
      <c r="D35" s="14" t="s">
        <v>210</v>
      </c>
      <c r="E35" t="s">
        <v>130</v>
      </c>
      <c r="F35" t="s">
        <v>131</v>
      </c>
    </row>
    <row r="36" spans="1:6" x14ac:dyDescent="0.35">
      <c r="A36" t="s">
        <v>50</v>
      </c>
      <c r="B36" s="3" t="s">
        <v>204</v>
      </c>
      <c r="D36" s="14" t="s">
        <v>213</v>
      </c>
      <c r="E36" t="s">
        <v>132</v>
      </c>
      <c r="F36" t="s">
        <v>133</v>
      </c>
    </row>
    <row r="37" spans="1:6" x14ac:dyDescent="0.35">
      <c r="A37" t="s">
        <v>51</v>
      </c>
      <c r="B37" s="2">
        <v>71</v>
      </c>
      <c r="D37" s="14" t="s">
        <v>196</v>
      </c>
      <c r="E37" t="s">
        <v>134</v>
      </c>
      <c r="F37" t="s">
        <v>135</v>
      </c>
    </row>
    <row r="38" spans="1:6" x14ac:dyDescent="0.35">
      <c r="A38" s="1" t="s">
        <v>52</v>
      </c>
      <c r="B38" s="2" t="s">
        <v>198</v>
      </c>
      <c r="D38" s="4" t="s">
        <v>50</v>
      </c>
      <c r="E38" t="s">
        <v>136</v>
      </c>
      <c r="F38" t="s">
        <v>137</v>
      </c>
    </row>
    <row r="39" spans="1:6" x14ac:dyDescent="0.35">
      <c r="A39" t="s">
        <v>53</v>
      </c>
      <c r="B39" s="2">
        <v>23</v>
      </c>
      <c r="D39" s="4">
        <v>0</v>
      </c>
      <c r="E39" t="s">
        <v>138</v>
      </c>
      <c r="F39" t="s">
        <v>139</v>
      </c>
    </row>
    <row r="40" spans="1:6" x14ac:dyDescent="0.35">
      <c r="A40" t="s">
        <v>54</v>
      </c>
      <c r="B40" s="2">
        <v>61</v>
      </c>
      <c r="D40" s="17" t="s">
        <v>209</v>
      </c>
      <c r="E40" t="s">
        <v>140</v>
      </c>
      <c r="F40" t="s">
        <v>141</v>
      </c>
    </row>
    <row r="41" spans="1:6" x14ac:dyDescent="0.35">
      <c r="A41" t="s">
        <v>55</v>
      </c>
      <c r="B41" s="2">
        <v>722</v>
      </c>
      <c r="D41" s="17" t="s">
        <v>209</v>
      </c>
      <c r="E41" t="s">
        <v>142</v>
      </c>
      <c r="F41" t="s">
        <v>143</v>
      </c>
    </row>
    <row r="42" spans="1:6" s="5" customFormat="1" ht="14.5" customHeight="1" x14ac:dyDescent="0.35">
      <c r="A42" s="6" t="s">
        <v>56</v>
      </c>
      <c r="B42" s="7" t="s">
        <v>199</v>
      </c>
      <c r="C42" s="10"/>
      <c r="D42" s="8">
        <v>0</v>
      </c>
      <c r="E42" s="6" t="s">
        <v>211</v>
      </c>
      <c r="F42" s="6" t="s">
        <v>212</v>
      </c>
    </row>
    <row r="43" spans="1:6" x14ac:dyDescent="0.35">
      <c r="A43" t="s">
        <v>57</v>
      </c>
      <c r="B43" s="2">
        <v>62</v>
      </c>
      <c r="D43" s="17">
        <v>0</v>
      </c>
      <c r="E43" t="s">
        <v>144</v>
      </c>
      <c r="F43" t="s">
        <v>145</v>
      </c>
    </row>
    <row r="44" spans="1:6" x14ac:dyDescent="0.35">
      <c r="A44" t="s">
        <v>58</v>
      </c>
      <c r="B44" s="2" t="s">
        <v>200</v>
      </c>
      <c r="D44" s="17">
        <v>0</v>
      </c>
      <c r="E44" t="s">
        <v>146</v>
      </c>
      <c r="F44" t="s">
        <v>147</v>
      </c>
    </row>
    <row r="45" spans="1:6" x14ac:dyDescent="0.35">
      <c r="A45" t="s">
        <v>59</v>
      </c>
      <c r="B45" s="2">
        <v>334</v>
      </c>
      <c r="D45" s="15" t="s">
        <v>197</v>
      </c>
      <c r="E45" t="s">
        <v>148</v>
      </c>
      <c r="F45" t="s">
        <v>149</v>
      </c>
    </row>
    <row r="46" spans="1:6" x14ac:dyDescent="0.35">
      <c r="A46" t="s">
        <v>60</v>
      </c>
      <c r="B46" s="2">
        <v>81</v>
      </c>
      <c r="D46" s="15" t="s">
        <v>197</v>
      </c>
      <c r="E46" t="s">
        <v>150</v>
      </c>
      <c r="F46" t="s">
        <v>151</v>
      </c>
    </row>
    <row r="47" spans="1:6" x14ac:dyDescent="0.35">
      <c r="A47" t="s">
        <v>61</v>
      </c>
      <c r="B47" s="2" t="s">
        <v>201</v>
      </c>
      <c r="D47" s="15" t="s">
        <v>197</v>
      </c>
      <c r="E47" t="s">
        <v>152</v>
      </c>
      <c r="F47" t="s">
        <v>153</v>
      </c>
    </row>
    <row r="48" spans="1:6" x14ac:dyDescent="0.35">
      <c r="A48" s="1" t="s">
        <v>62</v>
      </c>
      <c r="B48" s="2" t="s">
        <v>202</v>
      </c>
      <c r="D48" s="15" t="s">
        <v>197</v>
      </c>
      <c r="E48" t="s">
        <v>154</v>
      </c>
      <c r="F48" t="s">
        <v>155</v>
      </c>
    </row>
    <row r="49" spans="1:6" x14ac:dyDescent="0.35">
      <c r="A49" t="s">
        <v>181</v>
      </c>
      <c r="B49" s="2" t="s">
        <v>203</v>
      </c>
      <c r="D49" s="15" t="s">
        <v>197</v>
      </c>
      <c r="E49" t="s">
        <v>156</v>
      </c>
      <c r="F49" t="s">
        <v>157</v>
      </c>
    </row>
    <row r="50" spans="1:6" x14ac:dyDescent="0.35">
      <c r="A50" t="s">
        <v>180</v>
      </c>
      <c r="B50" s="2">
        <v>42</v>
      </c>
      <c r="D50" s="15" t="s">
        <v>197</v>
      </c>
      <c r="E50" t="s">
        <v>158</v>
      </c>
      <c r="F50" t="s">
        <v>159</v>
      </c>
    </row>
    <row r="51" spans="1:6" x14ac:dyDescent="0.35">
      <c r="A51" t="s">
        <v>184</v>
      </c>
      <c r="D51" s="15" t="s">
        <v>197</v>
      </c>
      <c r="E51" t="s">
        <v>160</v>
      </c>
      <c r="F51" t="s">
        <v>161</v>
      </c>
    </row>
    <row r="52" spans="1:6" x14ac:dyDescent="0.35">
      <c r="A52" s="1" t="s">
        <v>185</v>
      </c>
      <c r="D52" s="15" t="s">
        <v>197</v>
      </c>
      <c r="E52" t="s">
        <v>162</v>
      </c>
      <c r="F52" t="s">
        <v>163</v>
      </c>
    </row>
    <row r="53" spans="1:6" x14ac:dyDescent="0.35">
      <c r="A53" s="12" t="s">
        <v>186</v>
      </c>
      <c r="D53" s="15" t="s">
        <v>197</v>
      </c>
      <c r="E53" t="s">
        <v>164</v>
      </c>
      <c r="F53" t="s">
        <v>165</v>
      </c>
    </row>
    <row r="54" spans="1:6" x14ac:dyDescent="0.35">
      <c r="A54" s="1" t="s">
        <v>187</v>
      </c>
      <c r="D54" s="15" t="s">
        <v>197</v>
      </c>
      <c r="E54" t="s">
        <v>166</v>
      </c>
      <c r="F54" t="s">
        <v>167</v>
      </c>
    </row>
    <row r="55" spans="1:6" x14ac:dyDescent="0.35">
      <c r="A55" s="1" t="s">
        <v>188</v>
      </c>
      <c r="D55" s="15" t="s">
        <v>197</v>
      </c>
      <c r="E55" t="s">
        <v>168</v>
      </c>
      <c r="F55" t="s">
        <v>169</v>
      </c>
    </row>
    <row r="56" spans="1:6" x14ac:dyDescent="0.35">
      <c r="A56" t="s">
        <v>189</v>
      </c>
      <c r="D56" s="15" t="s">
        <v>197</v>
      </c>
      <c r="E56" t="s">
        <v>170</v>
      </c>
      <c r="F56" t="s">
        <v>171</v>
      </c>
    </row>
    <row r="57" spans="1:6" x14ac:dyDescent="0.35">
      <c r="A57" s="12" t="s">
        <v>190</v>
      </c>
      <c r="D57" s="15" t="s">
        <v>197</v>
      </c>
      <c r="E57" t="s">
        <v>172</v>
      </c>
      <c r="F57" t="s">
        <v>173</v>
      </c>
    </row>
    <row r="58" spans="1:6" x14ac:dyDescent="0.35">
      <c r="A58" s="1" t="s">
        <v>191</v>
      </c>
      <c r="D58" s="17" t="s">
        <v>208</v>
      </c>
      <c r="E58" t="s">
        <v>174</v>
      </c>
      <c r="F58" t="s">
        <v>175</v>
      </c>
    </row>
    <row r="59" spans="1:6" x14ac:dyDescent="0.35">
      <c r="A59" s="1" t="s">
        <v>192</v>
      </c>
      <c r="D59" s="15" t="s">
        <v>197</v>
      </c>
      <c r="E59" t="s">
        <v>176</v>
      </c>
      <c r="F59" t="s">
        <v>177</v>
      </c>
    </row>
    <row r="60" spans="1:6" x14ac:dyDescent="0.35">
      <c r="A60" s="12" t="s">
        <v>193</v>
      </c>
    </row>
    <row r="61" spans="1:6" x14ac:dyDescent="0.35">
      <c r="A61" s="1" t="s">
        <v>194</v>
      </c>
    </row>
    <row r="62" spans="1:6" x14ac:dyDescent="0.35">
      <c r="A62" s="1" t="s">
        <v>195</v>
      </c>
    </row>
  </sheetData>
  <conditionalFormatting sqref="A2:A1048576">
    <cfRule type="expression" dxfId="10" priority="36">
      <formula>COUNTIF(D:D, A2)&gt;0</formula>
    </cfRule>
  </conditionalFormatting>
  <conditionalFormatting sqref="D13">
    <cfRule type="expression" dxfId="9" priority="4">
      <formula>COUNTIF(G:G, D13)&gt;0</formula>
    </cfRule>
  </conditionalFormatting>
  <conditionalFormatting sqref="D14:D18">
    <cfRule type="expression" dxfId="8" priority="12">
      <formula>COUNTIF(I:I, D14)&gt;0</formula>
    </cfRule>
  </conditionalFormatting>
  <conditionalFormatting sqref="D19:D27">
    <cfRule type="expression" dxfId="7" priority="2">
      <formula>COUNTIF(G:G, D19)&gt;0</formula>
    </cfRule>
  </conditionalFormatting>
  <conditionalFormatting sqref="D38">
    <cfRule type="expression" dxfId="6" priority="1">
      <formula>COUNTIF(G:G, D38)&gt;0</formula>
    </cfRule>
  </conditionalFormatting>
  <conditionalFormatting sqref="D10:E12">
    <cfRule type="expression" dxfId="5" priority="35">
      <formula>COUNTIF(J:J, D10)&gt;0</formula>
    </cfRule>
  </conditionalFormatting>
  <conditionalFormatting sqref="D29:E31 D32">
    <cfRule type="expression" dxfId="4" priority="33">
      <formula>COUNTIF(J:J, D29)&gt;0</formula>
    </cfRule>
  </conditionalFormatting>
  <conditionalFormatting sqref="D33:E35">
    <cfRule type="expression" dxfId="3" priority="30">
      <formula>COUNTIF(H:H, D33)&gt;0</formula>
    </cfRule>
  </conditionalFormatting>
  <conditionalFormatting sqref="E13:E14">
    <cfRule type="expression" dxfId="2" priority="20">
      <formula>COUNTIF(L:L, E13)&gt;0</formula>
    </cfRule>
  </conditionalFormatting>
  <conditionalFormatting sqref="E17:E18">
    <cfRule type="expression" dxfId="1" priority="26">
      <formula>COUNTIF(L:L, E17)&gt;0</formula>
    </cfRule>
  </conditionalFormatting>
  <conditionalFormatting sqref="E21:E27 D28:E28">
    <cfRule type="expression" dxfId="0" priority="17">
      <formula>COUNTIF(K:K, D21)&gt;0</formula>
    </cfRule>
  </conditionalFormatting>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E0EC4-921A-42FD-83F3-E70E0AAC3145}">
  <dimension ref="A1:K62"/>
  <sheetViews>
    <sheetView workbookViewId="0">
      <selection activeCell="D34" sqref="D34"/>
    </sheetView>
  </sheetViews>
  <sheetFormatPr defaultRowHeight="14.5" x14ac:dyDescent="0.35"/>
  <sheetData>
    <row r="1" spans="1:11" x14ac:dyDescent="0.35">
      <c r="A1" t="s">
        <v>0</v>
      </c>
      <c r="B1" t="s">
        <v>1</v>
      </c>
      <c r="C1" t="s">
        <v>2</v>
      </c>
      <c r="D1" t="s">
        <v>3</v>
      </c>
      <c r="E1" t="s">
        <v>4</v>
      </c>
      <c r="F1" t="s">
        <v>5</v>
      </c>
      <c r="G1" t="s">
        <v>6</v>
      </c>
      <c r="H1" t="s">
        <v>7</v>
      </c>
      <c r="I1" t="s">
        <v>8</v>
      </c>
      <c r="J1" t="s">
        <v>9</v>
      </c>
      <c r="K1" t="s">
        <v>10</v>
      </c>
    </row>
    <row r="2" spans="1:11" x14ac:dyDescent="0.35">
      <c r="A2" t="b">
        <v>1</v>
      </c>
      <c r="B2" t="b">
        <v>1</v>
      </c>
      <c r="C2" t="s">
        <v>11</v>
      </c>
      <c r="E2" t="s">
        <v>12</v>
      </c>
      <c r="F2" t="b">
        <v>0</v>
      </c>
      <c r="G2" t="b">
        <v>0</v>
      </c>
      <c r="H2" t="s">
        <v>13</v>
      </c>
    </row>
    <row r="3" spans="1:11" x14ac:dyDescent="0.35">
      <c r="A3" t="b">
        <v>1</v>
      </c>
      <c r="B3" t="b">
        <v>0</v>
      </c>
      <c r="C3" t="s">
        <v>14</v>
      </c>
      <c r="D3" t="s">
        <v>11</v>
      </c>
      <c r="E3" t="s">
        <v>15</v>
      </c>
      <c r="F3" t="b">
        <v>1</v>
      </c>
      <c r="G3" t="b">
        <v>0</v>
      </c>
      <c r="H3" t="s">
        <v>13</v>
      </c>
    </row>
    <row r="4" spans="1:11" x14ac:dyDescent="0.35">
      <c r="A4" t="b">
        <v>1</v>
      </c>
      <c r="B4" t="b">
        <v>0</v>
      </c>
      <c r="C4" t="s">
        <v>16</v>
      </c>
      <c r="D4" t="s">
        <v>16</v>
      </c>
      <c r="E4" t="s">
        <v>15</v>
      </c>
      <c r="F4" t="b">
        <v>1</v>
      </c>
      <c r="G4" t="b">
        <v>0</v>
      </c>
      <c r="H4" t="s">
        <v>13</v>
      </c>
    </row>
    <row r="5" spans="1:11" x14ac:dyDescent="0.35">
      <c r="A5" t="b">
        <v>1</v>
      </c>
      <c r="B5" t="b">
        <v>0</v>
      </c>
      <c r="C5" t="s">
        <v>17</v>
      </c>
      <c r="D5" t="s">
        <v>17</v>
      </c>
      <c r="E5" t="s">
        <v>18</v>
      </c>
      <c r="F5" t="b">
        <v>1</v>
      </c>
      <c r="G5" t="b">
        <v>0</v>
      </c>
      <c r="K5">
        <v>2</v>
      </c>
    </row>
    <row r="6" spans="1:11" x14ac:dyDescent="0.35">
      <c r="A6" t="b">
        <v>1</v>
      </c>
      <c r="B6" t="b">
        <v>0</v>
      </c>
      <c r="C6" t="s">
        <v>19</v>
      </c>
      <c r="D6" t="s">
        <v>19</v>
      </c>
      <c r="E6" t="s">
        <v>18</v>
      </c>
      <c r="F6" t="b">
        <v>1</v>
      </c>
      <c r="G6" t="b">
        <v>0</v>
      </c>
      <c r="K6">
        <v>3</v>
      </c>
    </row>
    <row r="7" spans="1:11" x14ac:dyDescent="0.35">
      <c r="A7" t="b">
        <v>1</v>
      </c>
      <c r="B7" t="b">
        <v>0</v>
      </c>
      <c r="C7" t="s">
        <v>20</v>
      </c>
      <c r="D7" t="s">
        <v>20</v>
      </c>
      <c r="E7" t="s">
        <v>18</v>
      </c>
      <c r="F7" t="b">
        <v>1</v>
      </c>
      <c r="G7" t="b">
        <v>0</v>
      </c>
      <c r="K7">
        <v>6</v>
      </c>
    </row>
    <row r="8" spans="1:11" x14ac:dyDescent="0.35">
      <c r="A8" t="b">
        <v>1</v>
      </c>
      <c r="B8" t="b">
        <v>0</v>
      </c>
      <c r="C8" t="s">
        <v>21</v>
      </c>
      <c r="D8" t="s">
        <v>21</v>
      </c>
      <c r="E8" t="s">
        <v>22</v>
      </c>
      <c r="F8" t="b">
        <v>1</v>
      </c>
      <c r="G8" t="b">
        <v>0</v>
      </c>
      <c r="H8" t="s">
        <v>13</v>
      </c>
    </row>
    <row r="9" spans="1:11" x14ac:dyDescent="0.35">
      <c r="A9" t="b">
        <v>1</v>
      </c>
      <c r="B9" t="b">
        <v>0</v>
      </c>
      <c r="C9" t="s">
        <v>23</v>
      </c>
      <c r="D9" t="s">
        <v>23</v>
      </c>
      <c r="E9" t="s">
        <v>18</v>
      </c>
      <c r="F9" t="b">
        <v>1</v>
      </c>
      <c r="G9" t="b">
        <v>0</v>
      </c>
      <c r="K9">
        <v>1</v>
      </c>
    </row>
    <row r="10" spans="1:11" x14ac:dyDescent="0.35">
      <c r="A10" t="b">
        <v>1</v>
      </c>
      <c r="B10" t="b">
        <v>0</v>
      </c>
      <c r="C10" t="s">
        <v>24</v>
      </c>
      <c r="D10" t="s">
        <v>24</v>
      </c>
      <c r="E10" t="s">
        <v>18</v>
      </c>
      <c r="F10" t="b">
        <v>1</v>
      </c>
      <c r="G10" t="b">
        <v>0</v>
      </c>
      <c r="K10">
        <v>7</v>
      </c>
    </row>
    <row r="11" spans="1:11" x14ac:dyDescent="0.35">
      <c r="A11" t="b">
        <v>1</v>
      </c>
      <c r="B11" t="b">
        <v>0</v>
      </c>
      <c r="C11" t="s">
        <v>25</v>
      </c>
      <c r="D11" t="s">
        <v>25</v>
      </c>
      <c r="E11" t="s">
        <v>15</v>
      </c>
      <c r="F11" t="b">
        <v>1</v>
      </c>
      <c r="G11" t="b">
        <v>0</v>
      </c>
      <c r="H11" t="s">
        <v>13</v>
      </c>
    </row>
    <row r="12" spans="1:11" x14ac:dyDescent="0.35">
      <c r="A12" t="b">
        <v>1</v>
      </c>
      <c r="B12" t="b">
        <v>0</v>
      </c>
      <c r="C12" t="s">
        <v>26</v>
      </c>
      <c r="D12" t="s">
        <v>26</v>
      </c>
      <c r="E12" t="s">
        <v>18</v>
      </c>
      <c r="F12" t="b">
        <v>1</v>
      </c>
      <c r="G12" t="b">
        <v>0</v>
      </c>
      <c r="K12">
        <v>50</v>
      </c>
    </row>
    <row r="13" spans="1:11" x14ac:dyDescent="0.35">
      <c r="A13" t="b">
        <v>1</v>
      </c>
      <c r="B13" t="b">
        <v>0</v>
      </c>
      <c r="C13" t="s">
        <v>27</v>
      </c>
      <c r="D13" t="s">
        <v>27</v>
      </c>
      <c r="E13" t="s">
        <v>18</v>
      </c>
      <c r="F13" t="b">
        <v>1</v>
      </c>
      <c r="G13" t="b">
        <v>0</v>
      </c>
      <c r="K13">
        <v>15</v>
      </c>
    </row>
    <row r="14" spans="1:11" x14ac:dyDescent="0.35">
      <c r="A14" t="b">
        <v>1</v>
      </c>
      <c r="B14" t="b">
        <v>0</v>
      </c>
      <c r="C14" t="s">
        <v>28</v>
      </c>
      <c r="D14" t="s">
        <v>28</v>
      </c>
      <c r="E14" t="s">
        <v>18</v>
      </c>
      <c r="F14" t="b">
        <v>1</v>
      </c>
      <c r="G14" t="b">
        <v>0</v>
      </c>
      <c r="K14">
        <v>15</v>
      </c>
    </row>
    <row r="15" spans="1:11" x14ac:dyDescent="0.35">
      <c r="A15" t="b">
        <v>1</v>
      </c>
      <c r="B15" t="b">
        <v>0</v>
      </c>
      <c r="C15" t="s">
        <v>29</v>
      </c>
      <c r="D15" t="s">
        <v>29</v>
      </c>
      <c r="E15" t="s">
        <v>22</v>
      </c>
      <c r="F15" t="b">
        <v>1</v>
      </c>
      <c r="G15" t="b">
        <v>0</v>
      </c>
      <c r="H15" t="s">
        <v>13</v>
      </c>
    </row>
    <row r="16" spans="1:11" x14ac:dyDescent="0.35">
      <c r="A16" t="b">
        <v>1</v>
      </c>
      <c r="B16" t="b">
        <v>0</v>
      </c>
      <c r="C16" t="s">
        <v>30</v>
      </c>
      <c r="D16" t="s">
        <v>30</v>
      </c>
      <c r="E16" t="s">
        <v>15</v>
      </c>
      <c r="F16" t="b">
        <v>1</v>
      </c>
      <c r="G16" t="b">
        <v>0</v>
      </c>
      <c r="H16" t="s">
        <v>13</v>
      </c>
    </row>
    <row r="17" spans="1:8" x14ac:dyDescent="0.35">
      <c r="A17" t="b">
        <v>1</v>
      </c>
      <c r="B17" t="b">
        <v>0</v>
      </c>
      <c r="C17" t="s">
        <v>31</v>
      </c>
      <c r="D17" t="s">
        <v>31</v>
      </c>
      <c r="E17" t="s">
        <v>15</v>
      </c>
      <c r="F17" t="b">
        <v>1</v>
      </c>
      <c r="G17" t="b">
        <v>0</v>
      </c>
      <c r="H17" t="s">
        <v>13</v>
      </c>
    </row>
    <row r="18" spans="1:8" x14ac:dyDescent="0.35">
      <c r="A18" t="b">
        <v>1</v>
      </c>
      <c r="B18" t="b">
        <v>0</v>
      </c>
      <c r="C18" t="s">
        <v>32</v>
      </c>
      <c r="D18" t="s">
        <v>32</v>
      </c>
      <c r="E18" t="s">
        <v>15</v>
      </c>
      <c r="F18" t="b">
        <v>1</v>
      </c>
      <c r="G18" t="b">
        <v>0</v>
      </c>
      <c r="H18" t="s">
        <v>13</v>
      </c>
    </row>
    <row r="19" spans="1:8" x14ac:dyDescent="0.35">
      <c r="A19" t="b">
        <v>1</v>
      </c>
      <c r="B19" t="b">
        <v>0</v>
      </c>
      <c r="C19" t="s">
        <v>33</v>
      </c>
      <c r="D19" t="s">
        <v>33</v>
      </c>
      <c r="E19" t="s">
        <v>15</v>
      </c>
      <c r="F19" t="b">
        <v>1</v>
      </c>
      <c r="G19" t="b">
        <v>0</v>
      </c>
      <c r="H19" t="s">
        <v>13</v>
      </c>
    </row>
    <row r="20" spans="1:8" x14ac:dyDescent="0.35">
      <c r="A20" t="b">
        <v>1</v>
      </c>
      <c r="B20" t="b">
        <v>0</v>
      </c>
      <c r="C20" t="s">
        <v>34</v>
      </c>
      <c r="D20" t="s">
        <v>34</v>
      </c>
      <c r="E20" t="s">
        <v>15</v>
      </c>
      <c r="F20" t="b">
        <v>1</v>
      </c>
      <c r="G20" t="b">
        <v>0</v>
      </c>
      <c r="H20" t="s">
        <v>13</v>
      </c>
    </row>
    <row r="21" spans="1:8" x14ac:dyDescent="0.35">
      <c r="A21" t="b">
        <v>1</v>
      </c>
      <c r="B21" t="b">
        <v>0</v>
      </c>
      <c r="C21" t="s">
        <v>35</v>
      </c>
      <c r="D21" t="s">
        <v>35</v>
      </c>
      <c r="E21" t="s">
        <v>15</v>
      </c>
      <c r="F21" t="b">
        <v>1</v>
      </c>
      <c r="G21" t="b">
        <v>0</v>
      </c>
      <c r="H21" t="s">
        <v>13</v>
      </c>
    </row>
    <row r="22" spans="1:8" x14ac:dyDescent="0.35">
      <c r="A22" t="b">
        <v>1</v>
      </c>
      <c r="B22" t="b">
        <v>0</v>
      </c>
      <c r="C22" t="s">
        <v>36</v>
      </c>
      <c r="D22" t="s">
        <v>36</v>
      </c>
      <c r="E22" t="s">
        <v>15</v>
      </c>
      <c r="F22" t="b">
        <v>1</v>
      </c>
      <c r="G22" t="b">
        <v>0</v>
      </c>
      <c r="H22" t="s">
        <v>13</v>
      </c>
    </row>
    <row r="23" spans="1:8" x14ac:dyDescent="0.35">
      <c r="A23" t="b">
        <v>1</v>
      </c>
      <c r="B23" t="b">
        <v>0</v>
      </c>
      <c r="C23" t="s">
        <v>37</v>
      </c>
      <c r="D23" t="s">
        <v>37</v>
      </c>
      <c r="E23" t="s">
        <v>15</v>
      </c>
      <c r="F23" t="b">
        <v>1</v>
      </c>
      <c r="G23" t="b">
        <v>0</v>
      </c>
      <c r="H23" t="s">
        <v>13</v>
      </c>
    </row>
    <row r="24" spans="1:8" x14ac:dyDescent="0.35">
      <c r="A24" t="b">
        <v>1</v>
      </c>
      <c r="B24" t="b">
        <v>0</v>
      </c>
      <c r="C24" t="s">
        <v>38</v>
      </c>
      <c r="D24" t="s">
        <v>38</v>
      </c>
      <c r="E24" t="s">
        <v>22</v>
      </c>
      <c r="F24" t="b">
        <v>1</v>
      </c>
      <c r="G24" t="b">
        <v>0</v>
      </c>
      <c r="H24" t="s">
        <v>13</v>
      </c>
    </row>
    <row r="25" spans="1:8" x14ac:dyDescent="0.35">
      <c r="A25" t="b">
        <v>1</v>
      </c>
      <c r="B25" t="b">
        <v>0</v>
      </c>
      <c r="C25" t="s">
        <v>39</v>
      </c>
      <c r="D25" t="s">
        <v>39</v>
      </c>
      <c r="E25" t="s">
        <v>15</v>
      </c>
      <c r="F25" t="b">
        <v>1</v>
      </c>
      <c r="G25" t="b">
        <v>0</v>
      </c>
      <c r="H25" t="s">
        <v>13</v>
      </c>
    </row>
    <row r="26" spans="1:8" x14ac:dyDescent="0.35">
      <c r="A26" t="b">
        <v>1</v>
      </c>
      <c r="B26" t="b">
        <v>0</v>
      </c>
      <c r="C26" t="s">
        <v>40</v>
      </c>
      <c r="D26" t="s">
        <v>40</v>
      </c>
      <c r="E26" t="s">
        <v>15</v>
      </c>
      <c r="F26" t="b">
        <v>1</v>
      </c>
      <c r="G26" t="b">
        <v>0</v>
      </c>
      <c r="H26" t="s">
        <v>13</v>
      </c>
    </row>
    <row r="27" spans="1:8" x14ac:dyDescent="0.35">
      <c r="A27" t="b">
        <v>1</v>
      </c>
      <c r="B27" t="b">
        <v>0</v>
      </c>
      <c r="C27" t="s">
        <v>41</v>
      </c>
      <c r="D27" t="s">
        <v>41</v>
      </c>
      <c r="E27" t="s">
        <v>15</v>
      </c>
      <c r="F27" t="b">
        <v>1</v>
      </c>
      <c r="G27" t="b">
        <v>0</v>
      </c>
      <c r="H27" t="s">
        <v>13</v>
      </c>
    </row>
    <row r="28" spans="1:8" x14ac:dyDescent="0.35">
      <c r="A28" t="b">
        <v>1</v>
      </c>
      <c r="B28" t="b">
        <v>0</v>
      </c>
      <c r="C28" t="s">
        <v>42</v>
      </c>
      <c r="D28" t="s">
        <v>42</v>
      </c>
      <c r="E28" t="s">
        <v>15</v>
      </c>
      <c r="F28" t="b">
        <v>1</v>
      </c>
      <c r="G28" t="b">
        <v>0</v>
      </c>
      <c r="H28" t="s">
        <v>13</v>
      </c>
    </row>
    <row r="29" spans="1:8" x14ac:dyDescent="0.35">
      <c r="A29" t="b">
        <v>1</v>
      </c>
      <c r="B29" t="b">
        <v>0</v>
      </c>
      <c r="C29" t="s">
        <v>43</v>
      </c>
      <c r="D29" t="s">
        <v>43</v>
      </c>
      <c r="E29" t="s">
        <v>15</v>
      </c>
      <c r="F29" t="b">
        <v>1</v>
      </c>
      <c r="G29" t="b">
        <v>0</v>
      </c>
      <c r="H29" t="s">
        <v>13</v>
      </c>
    </row>
    <row r="30" spans="1:8" x14ac:dyDescent="0.35">
      <c r="A30" t="b">
        <v>1</v>
      </c>
      <c r="B30" t="b">
        <v>0</v>
      </c>
      <c r="C30" t="s">
        <v>44</v>
      </c>
      <c r="D30" t="s">
        <v>44</v>
      </c>
      <c r="E30" t="s">
        <v>15</v>
      </c>
      <c r="F30" t="b">
        <v>1</v>
      </c>
      <c r="G30" t="b">
        <v>0</v>
      </c>
      <c r="H30" t="s">
        <v>13</v>
      </c>
    </row>
    <row r="31" spans="1:8" x14ac:dyDescent="0.35">
      <c r="A31" t="b">
        <v>1</v>
      </c>
      <c r="B31" t="b">
        <v>0</v>
      </c>
      <c r="C31" t="s">
        <v>45</v>
      </c>
      <c r="D31" t="s">
        <v>45</v>
      </c>
      <c r="E31" t="s">
        <v>15</v>
      </c>
      <c r="F31" t="b">
        <v>1</v>
      </c>
      <c r="G31" t="b">
        <v>0</v>
      </c>
      <c r="H31" t="s">
        <v>13</v>
      </c>
    </row>
    <row r="32" spans="1:8" x14ac:dyDescent="0.35">
      <c r="A32" t="b">
        <v>1</v>
      </c>
      <c r="B32" t="b">
        <v>0</v>
      </c>
      <c r="C32" t="s">
        <v>46</v>
      </c>
      <c r="D32" t="s">
        <v>46</v>
      </c>
      <c r="E32" t="s">
        <v>15</v>
      </c>
      <c r="F32" t="b">
        <v>1</v>
      </c>
      <c r="G32" t="b">
        <v>0</v>
      </c>
      <c r="H32" t="s">
        <v>13</v>
      </c>
    </row>
    <row r="33" spans="1:11" x14ac:dyDescent="0.35">
      <c r="A33" t="b">
        <v>1</v>
      </c>
      <c r="B33" t="b">
        <v>0</v>
      </c>
      <c r="C33" t="s">
        <v>47</v>
      </c>
      <c r="D33" t="s">
        <v>47</v>
      </c>
      <c r="E33" t="s">
        <v>15</v>
      </c>
      <c r="F33" t="b">
        <v>1</v>
      </c>
      <c r="G33" t="b">
        <v>0</v>
      </c>
      <c r="H33" t="s">
        <v>13</v>
      </c>
    </row>
    <row r="34" spans="1:11" x14ac:dyDescent="0.35">
      <c r="A34" t="b">
        <v>1</v>
      </c>
      <c r="B34" t="b">
        <v>0</v>
      </c>
      <c r="C34" t="s">
        <v>48</v>
      </c>
      <c r="D34" t="s">
        <v>48</v>
      </c>
      <c r="E34" t="s">
        <v>18</v>
      </c>
      <c r="F34" t="b">
        <v>1</v>
      </c>
      <c r="G34" t="b">
        <v>0</v>
      </c>
      <c r="K34">
        <v>254</v>
      </c>
    </row>
    <row r="35" spans="1:11" x14ac:dyDescent="0.35">
      <c r="A35" t="b">
        <v>1</v>
      </c>
      <c r="B35" t="b">
        <v>0</v>
      </c>
      <c r="C35" t="s">
        <v>49</v>
      </c>
      <c r="D35" t="s">
        <v>49</v>
      </c>
      <c r="E35" t="s">
        <v>15</v>
      </c>
      <c r="F35" t="b">
        <v>1</v>
      </c>
      <c r="G35" t="b">
        <v>0</v>
      </c>
      <c r="H35" t="s">
        <v>13</v>
      </c>
    </row>
    <row r="36" spans="1:11" x14ac:dyDescent="0.35">
      <c r="A36" t="b">
        <v>1</v>
      </c>
      <c r="B36" t="b">
        <v>0</v>
      </c>
      <c r="C36" t="s">
        <v>50</v>
      </c>
      <c r="D36" t="s">
        <v>50</v>
      </c>
      <c r="E36" t="s">
        <v>22</v>
      </c>
      <c r="F36" t="b">
        <v>1</v>
      </c>
      <c r="G36" t="b">
        <v>0</v>
      </c>
      <c r="H36" t="s">
        <v>13</v>
      </c>
    </row>
    <row r="37" spans="1:11" x14ac:dyDescent="0.35">
      <c r="A37" t="b">
        <v>1</v>
      </c>
      <c r="B37" t="b">
        <v>0</v>
      </c>
      <c r="C37" t="s">
        <v>51</v>
      </c>
      <c r="D37" t="s">
        <v>51</v>
      </c>
      <c r="E37" t="s">
        <v>15</v>
      </c>
      <c r="F37" t="b">
        <v>1</v>
      </c>
      <c r="G37" t="b">
        <v>0</v>
      </c>
      <c r="H37" t="s">
        <v>13</v>
      </c>
    </row>
    <row r="38" spans="1:11" x14ac:dyDescent="0.35">
      <c r="A38" t="b">
        <v>1</v>
      </c>
      <c r="B38" t="b">
        <v>0</v>
      </c>
      <c r="C38" t="s">
        <v>52</v>
      </c>
      <c r="D38" t="s">
        <v>52</v>
      </c>
      <c r="E38" t="s">
        <v>15</v>
      </c>
      <c r="F38" t="b">
        <v>1</v>
      </c>
      <c r="G38" t="b">
        <v>0</v>
      </c>
      <c r="H38" t="s">
        <v>13</v>
      </c>
    </row>
    <row r="39" spans="1:11" x14ac:dyDescent="0.35">
      <c r="A39" t="b">
        <v>1</v>
      </c>
      <c r="B39" t="b">
        <v>0</v>
      </c>
      <c r="C39" t="s">
        <v>53</v>
      </c>
      <c r="D39" t="s">
        <v>53</v>
      </c>
      <c r="E39" t="s">
        <v>15</v>
      </c>
      <c r="F39" t="b">
        <v>1</v>
      </c>
      <c r="G39" t="b">
        <v>0</v>
      </c>
      <c r="H39" t="s">
        <v>13</v>
      </c>
    </row>
    <row r="40" spans="1:11" x14ac:dyDescent="0.35">
      <c r="A40" t="b">
        <v>1</v>
      </c>
      <c r="B40" t="b">
        <v>0</v>
      </c>
      <c r="C40" t="s">
        <v>54</v>
      </c>
      <c r="D40" t="s">
        <v>54</v>
      </c>
      <c r="E40" t="s">
        <v>15</v>
      </c>
      <c r="F40" t="b">
        <v>1</v>
      </c>
      <c r="G40" t="b">
        <v>0</v>
      </c>
      <c r="H40" t="s">
        <v>13</v>
      </c>
    </row>
    <row r="41" spans="1:11" x14ac:dyDescent="0.35">
      <c r="A41" t="b">
        <v>1</v>
      </c>
      <c r="B41" t="b">
        <v>0</v>
      </c>
      <c r="C41" t="s">
        <v>55</v>
      </c>
      <c r="D41" t="s">
        <v>55</v>
      </c>
      <c r="E41" t="s">
        <v>15</v>
      </c>
      <c r="F41" t="b">
        <v>1</v>
      </c>
      <c r="G41" t="b">
        <v>0</v>
      </c>
      <c r="H41" t="s">
        <v>13</v>
      </c>
    </row>
    <row r="42" spans="1:11" x14ac:dyDescent="0.35">
      <c r="A42" t="b">
        <v>1</v>
      </c>
      <c r="B42" t="b">
        <v>0</v>
      </c>
      <c r="C42" t="s">
        <v>56</v>
      </c>
      <c r="D42" t="s">
        <v>56</v>
      </c>
      <c r="E42" t="s">
        <v>15</v>
      </c>
      <c r="F42" t="b">
        <v>1</v>
      </c>
      <c r="G42" t="b">
        <v>0</v>
      </c>
      <c r="H42" t="s">
        <v>13</v>
      </c>
    </row>
    <row r="43" spans="1:11" x14ac:dyDescent="0.35">
      <c r="A43" t="b">
        <v>1</v>
      </c>
      <c r="B43" t="b">
        <v>0</v>
      </c>
      <c r="C43" t="s">
        <v>57</v>
      </c>
      <c r="D43" t="s">
        <v>57</v>
      </c>
      <c r="E43" t="s">
        <v>15</v>
      </c>
      <c r="F43" t="b">
        <v>1</v>
      </c>
      <c r="G43" t="b">
        <v>0</v>
      </c>
      <c r="H43" t="s">
        <v>13</v>
      </c>
    </row>
    <row r="44" spans="1:11" x14ac:dyDescent="0.35">
      <c r="A44" t="b">
        <v>1</v>
      </c>
      <c r="B44" t="b">
        <v>0</v>
      </c>
      <c r="C44" t="s">
        <v>58</v>
      </c>
      <c r="D44" t="s">
        <v>58</v>
      </c>
      <c r="E44" t="s">
        <v>15</v>
      </c>
      <c r="F44" t="b">
        <v>1</v>
      </c>
      <c r="G44" t="b">
        <v>0</v>
      </c>
      <c r="H44" t="s">
        <v>13</v>
      </c>
    </row>
    <row r="45" spans="1:11" x14ac:dyDescent="0.35">
      <c r="A45" t="b">
        <v>1</v>
      </c>
      <c r="B45" t="b">
        <v>0</v>
      </c>
      <c r="C45" t="s">
        <v>59</v>
      </c>
      <c r="D45" t="s">
        <v>59</v>
      </c>
      <c r="E45" t="s">
        <v>15</v>
      </c>
      <c r="F45" t="b">
        <v>1</v>
      </c>
      <c r="G45" t="b">
        <v>0</v>
      </c>
      <c r="H45" t="s">
        <v>13</v>
      </c>
    </row>
    <row r="46" spans="1:11" x14ac:dyDescent="0.35">
      <c r="A46" t="b">
        <v>1</v>
      </c>
      <c r="B46" t="b">
        <v>0</v>
      </c>
      <c r="C46" t="s">
        <v>60</v>
      </c>
      <c r="D46" t="s">
        <v>60</v>
      </c>
      <c r="E46" t="s">
        <v>15</v>
      </c>
      <c r="F46" t="b">
        <v>1</v>
      </c>
      <c r="G46" t="b">
        <v>0</v>
      </c>
      <c r="H46" t="s">
        <v>13</v>
      </c>
    </row>
    <row r="47" spans="1:11" x14ac:dyDescent="0.35">
      <c r="A47" t="b">
        <v>1</v>
      </c>
      <c r="B47" t="b">
        <v>0</v>
      </c>
      <c r="C47" t="s">
        <v>61</v>
      </c>
      <c r="D47" t="s">
        <v>61</v>
      </c>
      <c r="E47" t="s">
        <v>15</v>
      </c>
      <c r="F47" t="b">
        <v>1</v>
      </c>
      <c r="G47" t="b">
        <v>0</v>
      </c>
      <c r="H47" t="s">
        <v>13</v>
      </c>
    </row>
    <row r="48" spans="1:11" x14ac:dyDescent="0.35">
      <c r="A48" t="b">
        <v>1</v>
      </c>
      <c r="B48" t="b">
        <v>0</v>
      </c>
      <c r="C48" t="s">
        <v>62</v>
      </c>
      <c r="D48" t="s">
        <v>62</v>
      </c>
      <c r="E48" t="s">
        <v>15</v>
      </c>
      <c r="F48" t="b">
        <v>1</v>
      </c>
      <c r="G48" t="b">
        <v>0</v>
      </c>
      <c r="H48" t="s">
        <v>13</v>
      </c>
    </row>
    <row r="49" spans="1:8" x14ac:dyDescent="0.35">
      <c r="A49" t="b">
        <v>1</v>
      </c>
      <c r="B49" t="b">
        <v>0</v>
      </c>
      <c r="C49" t="s">
        <v>181</v>
      </c>
      <c r="D49" t="s">
        <v>181</v>
      </c>
      <c r="E49" t="s">
        <v>15</v>
      </c>
      <c r="F49" t="b">
        <v>1</v>
      </c>
      <c r="G49" t="b">
        <v>0</v>
      </c>
      <c r="H49" t="s">
        <v>13</v>
      </c>
    </row>
    <row r="50" spans="1:8" x14ac:dyDescent="0.35">
      <c r="A50" t="b">
        <v>1</v>
      </c>
      <c r="B50" t="b">
        <v>0</v>
      </c>
      <c r="C50" t="s">
        <v>180</v>
      </c>
      <c r="D50" t="s">
        <v>180</v>
      </c>
      <c r="E50" t="s">
        <v>15</v>
      </c>
      <c r="F50" t="b">
        <v>1</v>
      </c>
      <c r="G50" t="b">
        <v>0</v>
      </c>
      <c r="H50" t="s">
        <v>13</v>
      </c>
    </row>
    <row r="51" spans="1:8" x14ac:dyDescent="0.35">
      <c r="A51" t="b">
        <v>1</v>
      </c>
      <c r="B51" t="b">
        <v>0</v>
      </c>
      <c r="C51" t="s">
        <v>184</v>
      </c>
      <c r="D51" t="s">
        <v>184</v>
      </c>
      <c r="E51" t="s">
        <v>15</v>
      </c>
      <c r="F51" t="b">
        <v>1</v>
      </c>
      <c r="G51" t="b">
        <v>0</v>
      </c>
      <c r="H51" t="s">
        <v>13</v>
      </c>
    </row>
    <row r="52" spans="1:8" x14ac:dyDescent="0.35">
      <c r="A52" t="b">
        <v>1</v>
      </c>
      <c r="B52" t="b">
        <v>0</v>
      </c>
      <c r="C52" t="s">
        <v>185</v>
      </c>
      <c r="D52" t="s">
        <v>185</v>
      </c>
      <c r="E52" t="s">
        <v>22</v>
      </c>
      <c r="F52" t="b">
        <v>1</v>
      </c>
      <c r="G52" t="b">
        <v>0</v>
      </c>
      <c r="H52" t="s">
        <v>13</v>
      </c>
    </row>
    <row r="53" spans="1:8" x14ac:dyDescent="0.35">
      <c r="A53" t="b">
        <v>1</v>
      </c>
      <c r="B53" t="b">
        <v>0</v>
      </c>
      <c r="C53" t="s">
        <v>186</v>
      </c>
      <c r="D53" t="s">
        <v>186</v>
      </c>
      <c r="E53" t="s">
        <v>22</v>
      </c>
      <c r="F53" t="b">
        <v>1</v>
      </c>
      <c r="G53" t="b">
        <v>0</v>
      </c>
      <c r="H53" t="s">
        <v>13</v>
      </c>
    </row>
    <row r="54" spans="1:8" x14ac:dyDescent="0.35">
      <c r="A54" t="b">
        <v>1</v>
      </c>
      <c r="B54" t="b">
        <v>0</v>
      </c>
      <c r="C54" t="s">
        <v>187</v>
      </c>
      <c r="D54" t="s">
        <v>187</v>
      </c>
      <c r="E54" t="s">
        <v>22</v>
      </c>
      <c r="F54" t="b">
        <v>1</v>
      </c>
      <c r="G54" t="b">
        <v>0</v>
      </c>
      <c r="H54" t="s">
        <v>13</v>
      </c>
    </row>
    <row r="55" spans="1:8" x14ac:dyDescent="0.35">
      <c r="A55" t="b">
        <v>1</v>
      </c>
      <c r="B55" t="b">
        <v>0</v>
      </c>
      <c r="C55" t="s">
        <v>188</v>
      </c>
      <c r="D55" t="s">
        <v>188</v>
      </c>
      <c r="E55" t="s">
        <v>22</v>
      </c>
      <c r="F55" t="b">
        <v>1</v>
      </c>
      <c r="G55" t="b">
        <v>0</v>
      </c>
      <c r="H55" t="s">
        <v>13</v>
      </c>
    </row>
    <row r="56" spans="1:8" x14ac:dyDescent="0.35">
      <c r="A56" t="b">
        <v>1</v>
      </c>
      <c r="B56" t="b">
        <v>0</v>
      </c>
      <c r="C56" t="s">
        <v>189</v>
      </c>
      <c r="D56" t="s">
        <v>189</v>
      </c>
      <c r="E56" t="s">
        <v>22</v>
      </c>
      <c r="F56" t="b">
        <v>1</v>
      </c>
      <c r="G56" t="b">
        <v>0</v>
      </c>
      <c r="H56" t="s">
        <v>13</v>
      </c>
    </row>
    <row r="57" spans="1:8" x14ac:dyDescent="0.35">
      <c r="A57" t="b">
        <v>1</v>
      </c>
      <c r="B57" t="b">
        <v>0</v>
      </c>
      <c r="C57" t="s">
        <v>190</v>
      </c>
      <c r="D57" t="s">
        <v>190</v>
      </c>
      <c r="E57" t="s">
        <v>22</v>
      </c>
      <c r="F57" t="b">
        <v>1</v>
      </c>
      <c r="G57" t="b">
        <v>0</v>
      </c>
      <c r="H57" t="s">
        <v>13</v>
      </c>
    </row>
    <row r="58" spans="1:8" x14ac:dyDescent="0.35">
      <c r="A58" t="b">
        <v>1</v>
      </c>
      <c r="B58" t="b">
        <v>0</v>
      </c>
      <c r="C58" t="s">
        <v>191</v>
      </c>
      <c r="D58" t="s">
        <v>191</v>
      </c>
      <c r="E58" t="s">
        <v>22</v>
      </c>
      <c r="F58" t="b">
        <v>1</v>
      </c>
      <c r="G58" t="b">
        <v>0</v>
      </c>
      <c r="H58" t="s">
        <v>13</v>
      </c>
    </row>
    <row r="59" spans="1:8" x14ac:dyDescent="0.35">
      <c r="A59" t="b">
        <v>1</v>
      </c>
      <c r="B59" t="b">
        <v>0</v>
      </c>
      <c r="C59" t="s">
        <v>192</v>
      </c>
      <c r="D59" t="s">
        <v>192</v>
      </c>
      <c r="E59" t="s">
        <v>22</v>
      </c>
      <c r="F59" t="b">
        <v>1</v>
      </c>
      <c r="G59" t="b">
        <v>0</v>
      </c>
      <c r="H59" t="s">
        <v>13</v>
      </c>
    </row>
    <row r="60" spans="1:8" x14ac:dyDescent="0.35">
      <c r="A60" t="b">
        <v>1</v>
      </c>
      <c r="B60" t="b">
        <v>0</v>
      </c>
      <c r="C60" t="s">
        <v>193</v>
      </c>
      <c r="D60" t="s">
        <v>193</v>
      </c>
      <c r="E60" t="s">
        <v>22</v>
      </c>
      <c r="F60" t="b">
        <v>1</v>
      </c>
      <c r="G60" t="b">
        <v>0</v>
      </c>
      <c r="H60" t="s">
        <v>13</v>
      </c>
    </row>
    <row r="61" spans="1:8" x14ac:dyDescent="0.35">
      <c r="A61" t="b">
        <v>1</v>
      </c>
      <c r="B61" t="b">
        <v>0</v>
      </c>
      <c r="C61" t="s">
        <v>194</v>
      </c>
      <c r="D61" t="s">
        <v>194</v>
      </c>
      <c r="E61" t="s">
        <v>22</v>
      </c>
      <c r="F61" t="b">
        <v>1</v>
      </c>
      <c r="G61" t="b">
        <v>0</v>
      </c>
      <c r="H61" t="s">
        <v>13</v>
      </c>
    </row>
    <row r="62" spans="1:8" x14ac:dyDescent="0.35">
      <c r="A62" t="b">
        <v>1</v>
      </c>
      <c r="B62" t="b">
        <v>0</v>
      </c>
      <c r="C62" t="s">
        <v>195</v>
      </c>
      <c r="D62" t="s">
        <v>195</v>
      </c>
      <c r="E62" t="s">
        <v>22</v>
      </c>
      <c r="F62" t="b">
        <v>1</v>
      </c>
      <c r="G62" t="b">
        <v>0</v>
      </c>
      <c r="H62" t="s">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FCC45C55859ED4AB3450AF9C47E0A05" ma:contentTypeVersion="4" ma:contentTypeDescription="Create a new document." ma:contentTypeScope="" ma:versionID="57cd829f4030405af88f6848756dc49b">
  <xsd:schema xmlns:xsd="http://www.w3.org/2001/XMLSchema" xmlns:xs="http://www.w3.org/2001/XMLSchema" xmlns:p="http://schemas.microsoft.com/office/2006/metadata/properties" xmlns:ns2="8d9c17e1-c3d8-4fb0-9237-77824aaf9217" targetNamespace="http://schemas.microsoft.com/office/2006/metadata/properties" ma:root="true" ma:fieldsID="3750d699baf1032c394b71501fcadee0" ns2:_="">
    <xsd:import namespace="8d9c17e1-c3d8-4fb0-9237-77824aaf921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9c17e1-c3d8-4fb0-9237-77824aaf921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4D0C1D7-6D5F-4EA4-8F7D-8601E9060CDD}">
  <ds:schemaRefs>
    <ds:schemaRef ds:uri="http://schemas.microsoft.com/sharepoint/v3/contenttype/forms"/>
  </ds:schemaRefs>
</ds:datastoreItem>
</file>

<file path=customXml/itemProps2.xml><?xml version="1.0" encoding="utf-8"?>
<ds:datastoreItem xmlns:ds="http://schemas.openxmlformats.org/officeDocument/2006/customXml" ds:itemID="{64202592-60B4-4737-943C-9D2598E046AA}">
  <ds:schemaRefs>
    <ds:schemaRef ds:uri="http://schemas.microsoft.com/office/2006/metadata/properties"/>
    <ds:schemaRef ds:uri="http://www.w3.org/XML/1998/namespace"/>
    <ds:schemaRef ds:uri="http://schemas.microsoft.com/office/infopath/2007/PartnerControls"/>
    <ds:schemaRef ds:uri="8d9c17e1-c3d8-4fb0-9237-77824aaf9217"/>
    <ds:schemaRef ds:uri="http://schemas.microsoft.com/office/2006/documentManagement/types"/>
    <ds:schemaRef ds:uri="http://purl.org/dc/terms/"/>
    <ds:schemaRef ds:uri="http://purl.org/dc/dcmitype/"/>
    <ds:schemaRef ds:uri="http://purl.org/dc/elements/1.1/"/>
    <ds:schemaRef ds:uri="http://schemas.openxmlformats.org/package/2006/metadata/core-properties"/>
  </ds:schemaRefs>
</ds:datastoreItem>
</file>

<file path=customXml/itemProps3.xml><?xml version="1.0" encoding="utf-8"?>
<ds:datastoreItem xmlns:ds="http://schemas.openxmlformats.org/officeDocument/2006/customXml" ds:itemID="{834F6E94-D7F5-4715-AAF5-BF7497F2481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Luke Gordon</dc:creator>
  <cp:lastModifiedBy>Luke Gordon</cp:lastModifiedBy>
  <dcterms:created xsi:type="dcterms:W3CDTF">2025-04-09T19:12:27Z</dcterms:created>
  <dcterms:modified xsi:type="dcterms:W3CDTF">2025-05-13T21:14:19Z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0x010100AFCC45C55859ED4AB3450AF9C47E0A05</vt:lpwstr>
  </property>
  <property fmtid="{D5CDD505-2E9C-101B-9397-08002B2CF9AE}" pid="3" name="Order">
    <vt:r8>16100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